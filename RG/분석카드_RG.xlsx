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830" firstSheet="0" activeTab="2" autoFilterDateGrouping="1"/>
  </bookViews>
  <sheets>
    <sheet xmlns:r="http://schemas.openxmlformats.org/officeDocument/2006/relationships" name="안내·등급기준" sheetId="1" state="visible" r:id="rId1"/>
    <sheet xmlns:r="http://schemas.openxmlformats.org/officeDocument/2006/relationships" name="카드_빈양식" sheetId="2" state="visible" r:id="rId2"/>
    <sheet xmlns:r="http://schemas.openxmlformats.org/officeDocument/2006/relationships" name="종합매트릭스" sheetId="3" state="visible" r:id="rId3"/>
    <sheet xmlns:r="http://schemas.openxmlformats.org/officeDocument/2006/relationships" name="카드_1594" sheetId="4" state="visible" r:id="rId4"/>
    <sheet xmlns:r="http://schemas.openxmlformats.org/officeDocument/2006/relationships" name="카드_0976" sheetId="5" state="visible" r:id="rId5"/>
    <sheet xmlns:r="http://schemas.openxmlformats.org/officeDocument/2006/relationships" name="카드_1595" sheetId="6" state="visible" r:id="rId6"/>
    <sheet xmlns:r="http://schemas.openxmlformats.org/officeDocument/2006/relationships" name="카드_1533" sheetId="7" state="visible" r:id="rId7"/>
    <sheet xmlns:r="http://schemas.openxmlformats.org/officeDocument/2006/relationships" name="카드_1571" sheetId="8" state="visible" r:id="rId8"/>
    <sheet xmlns:r="http://schemas.openxmlformats.org/officeDocument/2006/relationships" name="카드_1598" sheetId="9" state="visible" r:id="rId9"/>
    <sheet xmlns:r="http://schemas.openxmlformats.org/officeDocument/2006/relationships" name="카드_1344p2" sheetId="10" state="visible" r:id="rId10"/>
    <sheet xmlns:r="http://schemas.openxmlformats.org/officeDocument/2006/relationships" name="카드_1284" sheetId="11" state="visible" r:id="rId11"/>
    <sheet xmlns:r="http://schemas.openxmlformats.org/officeDocument/2006/relationships" name="카드_1465" sheetId="12" state="visible" r:id="rId12"/>
    <sheet xmlns:r="http://schemas.openxmlformats.org/officeDocument/2006/relationships" name="카드_1506" sheetId="13" state="visible" r:id="rId13"/>
    <sheet xmlns:r="http://schemas.openxmlformats.org/officeDocument/2006/relationships" name="카드_0222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Calibri"/>
      <charset val="1"/>
      <family val="2"/>
      <color theme="1"/>
      <sz val="11"/>
    </font>
    <font>
      <name val="Arial"/>
      <family val="2"/>
      <b val="1"/>
      <color rgb="FFFFFFFF"/>
      <sz val="15"/>
    </font>
    <font>
      <name val="Arial"/>
      <family val="2"/>
      <color rgb="FF555555"/>
      <sz val="10"/>
    </font>
    <font>
      <name val="Arial"/>
      <family val="2"/>
      <b val="1"/>
      <color rgb="FFFFFFFF"/>
      <sz val="12"/>
    </font>
    <font>
      <name val="Noto Sans CJK SC"/>
      <charset val="1"/>
      <family val="2"/>
      <color rgb="FF000000"/>
      <sz val="10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Noto Sans CJK SC"/>
      <charset val="1"/>
      <family val="2"/>
      <color rgb="FF000000"/>
      <sz val="9"/>
    </font>
    <font>
      <name val="Arial"/>
      <family val="2"/>
      <color rgb="FF000000"/>
      <sz val="9"/>
    </font>
    <font>
      <name val="Noto Sans CJK SC"/>
      <charset val="1"/>
      <family val="2"/>
      <b val="1"/>
      <color rgb="FF8A6D1A"/>
      <sz val="10"/>
    </font>
    <font>
      <name val="Arial"/>
      <family val="2"/>
      <b val="1"/>
      <color rgb="FFFFFFFF"/>
      <sz val="14"/>
    </font>
    <font>
      <name val="Noto Sans CJK SC"/>
      <charset val="1"/>
      <family val="2"/>
      <b val="1"/>
      <color rgb="FFFFFFFF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8A6D1A"/>
      <sz val="10"/>
    </font>
    <font>
      <name val="Arial"/>
      <family val="2"/>
      <color rgb="FF0000FF"/>
      <sz val="10"/>
    </font>
    <font>
      <name val="Arial"/>
      <family val="2"/>
      <color rgb="FF0000FF"/>
      <sz val="9"/>
    </font>
    <font>
      <name val="Arial"/>
      <family val="2"/>
      <b val="1"/>
      <color rgb="FF0000FF"/>
      <sz val="10"/>
    </font>
    <font>
      <name val="Noto Sans CJK SC"/>
      <charset val="1"/>
      <family val="2"/>
      <b val="1"/>
      <color rgb="FFFFFFFF"/>
      <sz val="13"/>
    </font>
    <font>
      <name val="Noto Sans CJK SC"/>
      <charset val="1"/>
      <family val="2"/>
      <b val="1"/>
      <color rgb="FFFFFFFF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9"/>
    </font>
    <font>
      <name val="Arial"/>
      <family val="2"/>
      <b val="1"/>
      <color rgb="FF8A6D1A"/>
      <sz val="9"/>
    </font>
    <font>
      <name val="Arial"/>
      <family val="2"/>
      <sz val="9"/>
    </font>
    <font>
      <name val="Noto Sans CJK SC"/>
      <charset val="1"/>
      <family val="2"/>
      <sz val="9"/>
    </font>
    <font>
      <name val="Noto Sans CJK SC"/>
      <charset val="1"/>
      <family val="2"/>
      <color rgb="FF555555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8A6D1A"/>
      <sz val="10"/>
    </font>
    <font>
      <name val="돋움"/>
      <charset val="129"/>
      <family val="3"/>
      <sz val="8"/>
    </font>
  </fonts>
  <fills count="1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2F6FB"/>
      </patternFill>
    </fill>
    <fill>
      <patternFill patternType="solid">
        <fgColor rgb="FFDDEBF7"/>
        <bgColor rgb="FFE2EFDA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5CD"/>
      </patternFill>
    </fill>
    <fill>
      <patternFill patternType="solid">
        <fgColor rgb="FFF2F6FB"/>
        <bgColor rgb="FFF2F2F2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EEF3F7"/>
      </patternFill>
    </fill>
    <fill>
      <patternFill patternType="solid">
        <fgColor rgb="FFD9D9D9"/>
      </patternFill>
    </fill>
  </fills>
  <borders count="1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/>
      <right/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9" fontId="24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left" vertical="center" wrapText="1"/>
    </xf>
    <xf numFmtId="164" fontId="22" fillId="2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9" fontId="22" fillId="2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center" vertical="center"/>
    </xf>
    <xf numFmtId="0" fontId="25" fillId="13" borderId="1" applyAlignment="1" pivotButton="0" quotePrefix="0" xfId="0">
      <alignment horizontal="center" vertical="center"/>
    </xf>
    <xf numFmtId="0" fontId="29" fillId="14" borderId="8" applyAlignment="1" pivotButton="0" quotePrefix="0" xfId="0">
      <alignment horizontal="center" vertical="center"/>
    </xf>
    <xf numFmtId="0" fontId="30" fillId="15" borderId="8" applyAlignment="1" pivotButton="0" quotePrefix="0" xfId="0">
      <alignment horizontal="left" vertical="center"/>
    </xf>
    <xf numFmtId="0" fontId="30" fillId="0" borderId="8" applyAlignment="1" pivotButton="0" quotePrefix="0" xfId="0">
      <alignment horizontal="center" vertical="center"/>
    </xf>
    <xf numFmtId="9" fontId="31" fillId="0" borderId="8" applyAlignment="1" pivotButton="0" quotePrefix="0" xfId="0">
      <alignment horizontal="center" vertical="center"/>
    </xf>
    <xf numFmtId="0" fontId="30" fillId="0" borderId="0" pivotButton="0" quotePrefix="0" xfId="0"/>
    <xf numFmtId="0" fontId="10" fillId="16" borderId="1" applyAlignment="1" pivotButton="0" quotePrefix="0" xfId="0">
      <alignment horizontal="center" vertical="center"/>
    </xf>
    <xf numFmtId="9" fontId="30" fillId="13" borderId="8" applyAlignment="1" pivotButton="0" quotePrefix="0" xfId="0">
      <alignment horizontal="center" vertical="center"/>
    </xf>
    <xf numFmtId="9" fontId="30" fillId="12" borderId="8" applyAlignment="1" pivotButton="0" quotePrefix="0" xfId="0">
      <alignment horizontal="center" vertical="center"/>
    </xf>
    <xf numFmtId="9" fontId="30" fillId="11" borderId="8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7" pivotButton="0" quotePrefix="0" xfId="0"/>
    <xf numFmtId="9" fontId="16" fillId="9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7" fillId="0" borderId="1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28" fillId="14" borderId="0" applyAlignment="1" pivotButton="0" quotePrefix="0" xfId="0">
      <alignment horizontal="left" vertical="center"/>
    </xf>
    <xf numFmtId="0" fontId="27" fillId="9" borderId="2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29" fillId="14" borderId="8" applyAlignment="1" pivotButton="0" quotePrefix="0" xfId="0">
      <alignment horizontal="center" vertical="center"/>
    </xf>
    <xf numFmtId="0" fontId="21" fillId="2" borderId="1" applyAlignment="1" pivotButton="0" quotePrefix="0" xfId="0">
      <alignment horizontal="left" vertical="center"/>
    </xf>
    <xf numFmtId="164" fontId="22" fillId="2" borderId="1" applyAlignment="1" pivotButton="0" quotePrefix="0" xfId="0">
      <alignment horizontal="center" vertical="center"/>
    </xf>
    <xf numFmtId="0" fontId="29" fillId="14" borderId="1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9" fontId="30" fillId="0" borderId="10" applyAlignment="1" pivotButton="0" quotePrefix="0" xfId="0">
      <alignment horizontal="left" vertical="top" wrapText="1"/>
    </xf>
    <xf numFmtId="0" fontId="30" fillId="0" borderId="10" applyAlignment="1" pivotButton="0" quotePrefix="0" xfId="0">
      <alignment horizontal="left"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A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B"/>
      <rgbColor rgb="FFE2EFDA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49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3" customWidth="1" style="60" min="1" max="1"/>
    <col width="20" customWidth="1" style="60" min="2" max="2"/>
    <col width="16" customWidth="1" style="60" min="3" max="7"/>
    <col width="3" customWidth="1" style="60" min="8" max="8"/>
  </cols>
  <sheetData>
    <row r="2" ht="25.5" customHeight="1" s="60">
      <c r="B2" s="72" t="inlineStr">
        <is>
          <t>AI-Ready 메타데이터 표준 분석 카드 — 안내 및 등급 기준</t>
        </is>
      </c>
    </row>
    <row r="4" ht="15" customHeight="1" s="60">
      <c r="B4" s="73" t="inlineStr">
        <is>
          <t>TTA 「AI-Ready 표준 생태계 조성을 위한 표준화 전략 수립」 · PG606 중심 + 타 PG 표본 분석</t>
        </is>
      </c>
    </row>
    <row r="6" ht="21.75" customHeight="1" s="60">
      <c r="B6" s="67" t="inlineStr">
        <is>
          <t>1. 이 양식의 목적과 사용법</t>
        </is>
      </c>
    </row>
    <row r="7" ht="15" customHeight="1" s="60">
      <c r="B7" s="63" t="inlineStr">
        <is>
          <t>• 분석 대상 PG606 11종(연구·AI·지식정보·산업·센서 메타데이터 + 품질검증·변환절차·운영)를 4명이 같은 양식으로 분석해 증거 기반을 만든다.</t>
        </is>
      </c>
    </row>
    <row r="8" ht="15" customHeight="1" s="60">
      <c r="B8" s="63" t="inlineStr">
        <is>
          <t>• 표준 1개당 ‘분석카드’ 1장을 작성한다. 빈 카드 시트를 복사해 표준별로 채운다.</t>
        </is>
      </c>
    </row>
    <row r="9" ht="15" customHeight="1" s="60">
      <c r="B9" s="63" t="inlineStr">
        <is>
          <t>• 카드는 두 축으로 본다 — A축(품질·정합성 결함)과 B축(AI-Ready 7개 구성요소 성숙도).</t>
        </is>
      </c>
    </row>
    <row r="10" ht="15" customHeight="1" s="60">
      <c r="B10" s="63" t="inlineStr">
        <is>
          <t>• 카드 작성 후, 7개 등급과 결함 수를 ‘종합매트릭스’ 시트에 전기(轉記)한다. 합계·성숙도·평균은 자동 계산된다.</t>
        </is>
      </c>
    </row>
    <row r="11" ht="15" customHeight="1" s="60">
      <c r="B11" s="63" t="inlineStr">
        <is>
          <t>• 매트릭스 하단의 구성요소별 평균이, 도메인을 막론하고 공통으로 비는 층을 드러낸다 → 수준 요건의 근거.</t>
        </is>
      </c>
    </row>
    <row r="13" ht="21.75" customHeight="1" s="60">
      <c r="B13" s="67" t="inlineStr">
        <is>
          <t>2. 역할 분담</t>
        </is>
      </c>
    </row>
    <row r="14" ht="15" customHeight="1" s="60">
      <c r="B14" s="2" t="inlineStr">
        <is>
          <t>담당</t>
        </is>
      </c>
      <c r="C14" s="71" t="inlineStr">
        <is>
          <t>책임 범위</t>
        </is>
      </c>
      <c r="D14" s="62" t="n"/>
      <c r="E14" s="62" t="n"/>
      <c r="F14" s="62" t="n"/>
      <c r="G14" s="62" t="n"/>
    </row>
    <row r="15" ht="30" customHeight="1" s="60">
      <c r="B15" s="3" t="inlineStr">
        <is>
          <t>선태 (PM·Cat.D)</t>
        </is>
      </c>
      <c r="C15" s="68" t="inlineStr">
        <is>
          <t>총괄·카드 프레임 조율, 결과 종합 → 제안 표준 ‘수준 요건’ 도출</t>
        </is>
      </c>
      <c r="D15" s="62" t="n"/>
      <c r="E15" s="62" t="n"/>
      <c r="F15" s="62" t="n"/>
      <c r="G15" s="62" t="n"/>
    </row>
    <row r="16" ht="30" customHeight="1" s="60">
      <c r="B16" s="3" t="inlineStr">
        <is>
          <t>김주섭 대표 (Cat.A)</t>
        </is>
      </c>
      <c r="C16" s="68" t="inlineStr">
        <is>
          <t>국내외 현황 — AI-Ready (메타)데이터 표준 동향, 검증 프로그램 라이선스 적용 현황</t>
        </is>
      </c>
      <c r="D16" s="62" t="n"/>
      <c r="E16" s="62" t="n"/>
      <c r="F16" s="62" t="n"/>
      <c r="G16" s="62" t="n"/>
    </row>
    <row r="17" ht="30" customHeight="1" s="60">
      <c r="B17" s="3" t="inlineStr">
        <is>
          <t>박천웅 박사 (Cat.B)</t>
        </is>
      </c>
      <c r="C17" s="61" t="inlineStr">
        <is>
          <t>TTA 제안·심의·제정·개정 프로세스 검토, A축 결함 패턴 → 프로세스 개선안</t>
        </is>
      </c>
      <c r="D17" s="62" t="n"/>
      <c r="E17" s="62" t="n"/>
      <c r="F17" s="62" t="n"/>
      <c r="G17" s="62" t="n"/>
    </row>
    <row r="18" ht="30" customHeight="1" s="60">
      <c r="B18" s="3" t="inlineStr">
        <is>
          <t>김장원 교수 (Cat.C)</t>
        </is>
      </c>
      <c r="C18" s="61" t="inlineStr">
        <is>
          <t>2027 개발 로드맵(제안 SW·자동 검토·공동 어휘 제안·검증 자동생성), 기술적 수준 요건</t>
        </is>
      </c>
      <c r="D18" s="62" t="n"/>
      <c r="E18" s="62" t="n"/>
      <c r="F18" s="62" t="n"/>
      <c r="G18" s="62" t="n"/>
    </row>
    <row r="20" ht="21.75" customHeight="1" s="60">
      <c r="B20" s="67" t="inlineStr">
        <is>
          <t>3. A축 — 품질·정합성 결함 점검 항목</t>
        </is>
      </c>
    </row>
    <row r="21" ht="15" customHeight="1" s="60">
      <c r="B21" s="4" t="inlineStr">
        <is>
          <t>결함 유형</t>
        </is>
      </c>
      <c r="C21" s="71" t="inlineStr">
        <is>
          <t>의미 / 예시 (1530 기준)</t>
        </is>
      </c>
      <c r="D21" s="62" t="n"/>
      <c r="E21" s="62" t="n"/>
      <c r="F21" s="62" t="n"/>
      <c r="G21" s="62" t="n"/>
    </row>
    <row r="22" ht="30" customHeight="1" s="60">
      <c r="B22" s="3" t="inlineStr">
        <is>
          <t>데이터 타입 정의 오류</t>
        </is>
      </c>
      <c r="C22" s="61" t="inlineStr">
        <is>
          <t>XML Schema 등 타입 정의가 사실과 다름. 예: xs:short를 8비트·–32768~32768로 기술(실제 16비트·–32768~32767)</t>
        </is>
      </c>
      <c r="D22" s="62" t="n"/>
      <c r="E22" s="62" t="n"/>
      <c r="F22" s="62" t="n"/>
      <c r="G22" s="62" t="n"/>
    </row>
    <row r="23" ht="30" customHeight="1" s="60">
      <c r="B23" s="3" t="inlineStr">
        <is>
          <t>단위 표기 모호성</t>
        </is>
      </c>
      <c r="C23" s="68" t="inlineStr">
        <is>
          <t>단위가 표시용 코드뿐이거나 한 항목에 복수 단위 혼재. 예: ValueUnit 코드, 미사용 단위 0x0B ‘m/L’</t>
        </is>
      </c>
      <c r="D23" s="62" t="n"/>
      <c r="E23" s="62" t="n"/>
      <c r="F23" s="62" t="n"/>
      <c r="G23" s="62" t="n"/>
    </row>
    <row r="24" ht="30" customHeight="1" s="60">
      <c r="B24" s="3" t="inlineStr">
        <is>
          <t>인용/준용표준 분류 오류</t>
        </is>
      </c>
      <c r="C24" s="68" t="inlineStr">
        <is>
          <t>규범적 의존이 있는데 ‘인용표준 없음’으로 표기. 예: 5장이 W3C XML Schema·IEEE 754에 의존</t>
        </is>
      </c>
      <c r="D24" s="62" t="n"/>
      <c r="E24" s="62" t="n"/>
      <c r="F24" s="62" t="n"/>
      <c r="G24" s="62" t="n"/>
    </row>
    <row r="25" ht="30" customHeight="1" s="60">
      <c r="B25" s="3" t="inlineStr">
        <is>
          <t>코드/enum 정의 오류</t>
        </is>
      </c>
      <c r="C25" s="68" t="inlineStr">
        <is>
          <t>코드표 헤더·값 오류. 예: InstallStatus 코드표 헤더가 ‘센싱값 타입’(→‘설치 상태’)</t>
        </is>
      </c>
      <c r="D25" s="62" t="n"/>
      <c r="E25" s="62" t="n"/>
      <c r="F25" s="62" t="n"/>
      <c r="G25" s="62" t="n"/>
    </row>
    <row r="26" ht="30" customHeight="1" s="60">
      <c r="B26" s="3" t="inlineStr">
        <is>
          <t>오타·표기 불일치</t>
        </is>
      </c>
      <c r="C26" s="68" t="inlineStr">
        <is>
          <t>오탈자. 예: ‘조사’→‘소자’, ‘종유’→‘종류’</t>
        </is>
      </c>
      <c r="D26" s="62" t="n"/>
      <c r="E26" s="62" t="n"/>
      <c r="F26" s="62" t="n"/>
      <c r="G26" s="62" t="n"/>
    </row>
    <row r="27" ht="30" customHeight="1" s="60">
      <c r="B27" s="3" t="inlineStr">
        <is>
          <t>내부 일관성</t>
        </is>
      </c>
      <c r="C27" s="68" t="inlineStr">
        <is>
          <t>약어·명칭 등 불일치. 예: 약어 ‘없음’이나 본문 다수 사용; 표6-1 명칭 표기 누락</t>
        </is>
      </c>
      <c r="D27" s="62" t="n"/>
      <c r="E27" s="62" t="n"/>
      <c r="F27" s="62" t="n"/>
      <c r="G27" s="62" t="n"/>
    </row>
    <row r="28" ht="30" customHeight="1" s="60">
      <c r="B28" s="3" t="inlineStr">
        <is>
          <t>기타</t>
        </is>
      </c>
      <c r="C28" s="68" t="inlineStr">
        <is>
          <t>위 분류에 없는 결함</t>
        </is>
      </c>
      <c r="D28" s="62" t="n"/>
      <c r="E28" s="62" t="n"/>
      <c r="F28" s="62" t="n"/>
      <c r="G28" s="62" t="n"/>
    </row>
    <row r="30" ht="21.75" customHeight="1" s="60">
      <c r="B30" s="67" t="inlineStr">
        <is>
          <t>4. B축 — AI-Ready 7개 구성요소 등급 기준 (0 / 1 / 2)</t>
        </is>
      </c>
    </row>
    <row r="31" ht="15" customHeight="1" s="60">
      <c r="B31" s="4" t="inlineStr">
        <is>
          <t>구성요소</t>
        </is>
      </c>
      <c r="C31" s="2" t="inlineStr">
        <is>
          <t>구분</t>
        </is>
      </c>
      <c r="D31" s="5" t="inlineStr">
        <is>
          <t>0 (미충족)</t>
        </is>
      </c>
      <c r="E31" s="5" t="inlineStr">
        <is>
          <t>1 (부분)</t>
        </is>
      </c>
      <c r="F31" s="69" t="inlineStr">
        <is>
          <t>2 (충족)</t>
        </is>
      </c>
      <c r="G31" s="62" t="n"/>
    </row>
    <row r="32" ht="33.75" customHeight="1" s="60">
      <c r="B32" s="3" t="inlineStr">
        <is>
          <t>시맨틱</t>
        </is>
      </c>
      <c r="C32" s="6" t="inlineStr">
        <is>
          <t>전환</t>
        </is>
      </c>
      <c r="D32" s="7" t="inlineStr">
        <is>
          <t>의미·상하/포함 관계가 산문·로컬 코드, IRI 없음</t>
        </is>
      </c>
      <c r="E32" s="8" t="inlineStr">
        <is>
          <t>일부 개념만 전역 어휘 연결</t>
        </is>
      </c>
      <c r="F32" s="66" t="inlineStr">
        <is>
          <t>의미+상하·포함 관계가 전역 IRI(skos:broader·dct:hasPart 등)에 바인딩</t>
        </is>
      </c>
      <c r="G32" s="62" t="n"/>
    </row>
    <row r="33" ht="33.75" customHeight="1" s="60">
      <c r="B33" s="3" t="inlineStr">
        <is>
          <t>데이터 모델</t>
        </is>
      </c>
      <c r="C33" s="6" t="inlineStr">
        <is>
          <t>전환</t>
        </is>
      </c>
      <c r="D33" s="7" t="inlineStr">
        <is>
          <t>값 유형·제약·반복 미정의/산문</t>
        </is>
      </c>
      <c r="E33" s="8" t="inlineStr">
        <is>
          <t>표로 값 유형·필수·반복 정리</t>
        </is>
      </c>
      <c r="F33" s="66" t="inlineStr">
        <is>
          <t>기계검증 스키마(XSD·SHACL·JSON Schema)로 형식화</t>
        </is>
      </c>
      <c r="G33" s="62" t="n"/>
    </row>
    <row r="34" ht="33.75" customHeight="1" s="60">
      <c r="B34" s="3" t="inlineStr">
        <is>
          <t>신태틱</t>
        </is>
      </c>
      <c r="C34" s="6" t="inlineStr">
        <is>
          <t>전환</t>
        </is>
      </c>
      <c r="D34" s="7" t="inlineStr">
        <is>
          <t>직렬화 규범 없음/임의</t>
        </is>
      </c>
      <c r="E34" s="8" t="inlineStr">
        <is>
          <t>형식 언급은 있으나 비규범</t>
        </is>
      </c>
      <c r="F34" s="64" t="inlineStr">
        <is>
          <t>JSON-LD/RDF 등 규범 직렬화 제공</t>
        </is>
      </c>
      <c r="G34" s="62" t="n"/>
    </row>
    <row r="35" ht="33.75" customHeight="1" s="60">
      <c r="B35" s="3" t="inlineStr">
        <is>
          <t>운영 시맨틱</t>
        </is>
      </c>
      <c r="C35" s="9" t="inlineStr">
        <is>
          <t>신규</t>
        </is>
      </c>
      <c r="D35" s="7" t="inlineStr">
        <is>
          <t>ML 사용(split·feature/label) 미선언 — ML 대상인데 비어 있음</t>
        </is>
      </c>
      <c r="E35" s="8" t="inlineStr">
        <is>
          <t>split 등 일부를 산문으로 기술</t>
        </is>
      </c>
      <c r="F35" s="66" t="inlineStr">
        <is>
          <t>Croissant로 split·feature/label 형식 선언  (ML 비대상 표준은 N/A)</t>
        </is>
      </c>
      <c r="G35" s="62" t="n"/>
    </row>
    <row r="36" ht="33.75" customHeight="1" s="60">
      <c r="B36" s="3" t="inlineStr">
        <is>
          <t>출처/계보</t>
        </is>
      </c>
      <c r="C36" s="9" t="inlineStr">
        <is>
          <t>신규</t>
        </is>
      </c>
      <c r="D36" s="7" t="inlineStr">
        <is>
          <t>출처 정보 흩어짐/부재</t>
        </is>
      </c>
      <c r="E36" s="8" t="inlineStr">
        <is>
          <t>일부 출처 필드 존재</t>
        </is>
      </c>
      <c r="F36" s="64" t="inlineStr">
        <is>
          <t>PROV-O로 계보 형식화 (EU AI Act Art.10 대응)</t>
        </is>
      </c>
      <c r="G36" s="62" t="n"/>
    </row>
    <row r="37" ht="33.75" customHeight="1" s="60">
      <c r="B37" s="3" t="inlineStr">
        <is>
          <t>품질 프로파일</t>
        </is>
      </c>
      <c r="C37" s="9" t="inlineStr">
        <is>
          <t>신규</t>
        </is>
      </c>
      <c r="D37" s="7" t="inlineStr">
        <is>
          <t>품질 신호가 enum 코드뿐</t>
        </is>
      </c>
      <c r="E37" s="8" t="inlineStr">
        <is>
          <t>일부 품질 표기</t>
        </is>
      </c>
      <c r="F37" s="64" t="inlineStr">
        <is>
          <t>ISO/IEC 5259-2·25012 기준을 DQV·SHACL로 표현</t>
        </is>
      </c>
      <c r="G37" s="62" t="n"/>
    </row>
    <row r="38" ht="33.75" customHeight="1" s="60">
      <c r="B38" s="3" t="inlineStr">
        <is>
          <t>접근/사용 제약</t>
        </is>
      </c>
      <c r="C38" s="9" t="inlineStr">
        <is>
          <t>신규</t>
        </is>
      </c>
      <c r="D38" s="7" t="inlineStr">
        <is>
          <t>라이선스·접근권 메타데이터 부재</t>
        </is>
      </c>
      <c r="E38" s="8" t="inlineStr">
        <is>
          <t>문서 수준 저작권만</t>
        </is>
      </c>
      <c r="F38" s="64" t="inlineStr">
        <is>
          <t>DUO·ODRL 2.2·CC URI로 데이터 수준 명시</t>
        </is>
      </c>
      <c r="G38" s="62" t="n"/>
    </row>
    <row r="40" ht="21.75" customHeight="1" s="60">
      <c r="B40" s="65" t="inlineStr">
        <is>
          <t>성숙도 = 등급 합계 ÷ (적용 구성요소 수 × 2). 운영 시맨틱이 N/A(비-ML 표준)면 분모 12, 그 외 14. 운영 시맨틱은 ‘ML 사용 방식(split·feature/label)’으로, ML 학습·검증 데이터를 기술하는 표준에만 적용한다(Croissant 1.0 ML 계층 기준).</t>
        </is>
      </c>
      <c r="C40" s="62" t="n"/>
      <c r="D40" s="62" t="n"/>
      <c r="E40" s="62" t="n"/>
      <c r="F40" s="62" t="n"/>
      <c r="G40" s="62" t="n"/>
    </row>
    <row r="42" ht="21.75" customHeight="1" s="60">
      <c r="B42" s="70" t="inlineStr">
        <is>
          <t>5. 발견(Y/N/N·A) 표기와 자동검사 표기 기준</t>
        </is>
      </c>
    </row>
    <row r="43" ht="30" customHeight="1" s="60">
      <c r="B43" s="59" t="inlineStr">
        <is>
          <t>• 발견:  Y = 해당 유형 결함이 있음   |   N = 검사 대상은 표준에 있으나 결함이 없음(검사 통과)   |   N/A = 해당 유형 자체가 표준에 없어 적용 대상이 아님</t>
        </is>
      </c>
    </row>
    <row r="44" ht="30" customHeight="1" s="60">
      <c r="B44" s="59" t="inlineStr">
        <is>
          <t>• 결함 발견 수는 Y만 집계한다(COUNTIF). N과 N/A는 결함이 아니므로 세지 않으며, 둘을 구분해 ‘통과’와 ‘비해당’을 분리한다.</t>
        </is>
      </c>
    </row>
    <row r="45" ht="30" customHeight="1" s="60">
      <c r="B45" s="59" t="inlineStr">
        <is>
          <t>• 자동검사(발견 Y인 행만): 예 = 규칙만 정하면 기계가 확실히 탐지   |   부분 = 기계가 후보 제시·최종 판단은 사람   |   아니오 = 자동화 어려움·전문가 판단   |   — = 해당 없음(Y가 아닌 행)</t>
        </is>
      </c>
    </row>
    <row r="47" ht="21.75" customHeight="1" s="60">
      <c r="B47" s="70" t="inlineStr">
        <is>
          <t>6. 참고 — A축의 ‘품질·정합성’과 B축의 ‘품질 프로파일’ 구분</t>
        </is>
      </c>
    </row>
    <row r="48" ht="46" customHeight="1" s="60">
      <c r="B48" s="59" t="inlineStr">
        <is>
          <t>• A축 ‘품질’ = 교정·감수 관점. 타입 정의가 틀렸나, 오타가 있나, 인용표준을 잘못 분류했나, 약어가 본문과 안 맞나… ‘문서의 흠집’을 찾는 것이다. ‘품질·정합성’은 축 이름일 뿐, 7개 점검항목 중 ‘품질 프로파일’이라는 항목은 없다.</t>
        </is>
      </c>
    </row>
    <row r="49" ht="46" customHeight="1" s="60">
      <c r="B49" s="59" t="inlineStr">
        <is>
          <t>• B축 ‘품질 프로파일’ = AI-Ready 관점의 7개 구성요소 중 하나. ‘이 데이터가 얼마나 정확한지·결측이 얼마인지·대표성이 있는지’를 dqv:Dimension·dqv:QualityMeasurement 같은 형식 어휘로 붙여 두었는가를 본다.</t>
        </is>
      </c>
    </row>
  </sheetData>
  <mergeCells count="40">
    <mergeCell ref="B2:G2"/>
    <mergeCell ref="B42:G42"/>
    <mergeCell ref="C24:G24"/>
    <mergeCell ref="C15:G15"/>
    <mergeCell ref="F34:G34"/>
    <mergeCell ref="B8:G8"/>
    <mergeCell ref="B13:G13"/>
    <mergeCell ref="C14:G14"/>
    <mergeCell ref="B44:G44"/>
    <mergeCell ref="C26:G26"/>
    <mergeCell ref="B10:G10"/>
    <mergeCell ref="C16:G16"/>
    <mergeCell ref="B9:G9"/>
    <mergeCell ref="C25:G25"/>
    <mergeCell ref="F33:G33"/>
    <mergeCell ref="B49:G49"/>
    <mergeCell ref="F36:G36"/>
    <mergeCell ref="B40:G40"/>
    <mergeCell ref="F32:G32"/>
    <mergeCell ref="C22:G22"/>
    <mergeCell ref="B30:G30"/>
    <mergeCell ref="F35:G35"/>
    <mergeCell ref="B6:G6"/>
    <mergeCell ref="B20:G20"/>
    <mergeCell ref="C21:G21"/>
    <mergeCell ref="F38:G38"/>
    <mergeCell ref="B45:G45"/>
    <mergeCell ref="C27:G27"/>
    <mergeCell ref="B4:G4"/>
    <mergeCell ref="F31:G31"/>
    <mergeCell ref="C23:G23"/>
    <mergeCell ref="B7:G7"/>
    <mergeCell ref="C17:G17"/>
    <mergeCell ref="B47:G47"/>
    <mergeCell ref="F37:G37"/>
    <mergeCell ref="C28:G28"/>
    <mergeCell ref="B43:G43"/>
    <mergeCell ref="B48:G48"/>
    <mergeCell ref="C18:G18"/>
    <mergeCell ref="B11:G11"/>
  </mergeCells>
  <pageMargins left="0.3" right="0.3" top="0.4" bottom="0.4" header="0.511811023622047" footer="0.511811023622047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3" customWidth="1" style="60" min="1" max="1"/>
    <col width="20" customWidth="1" style="60" min="2" max="2"/>
    <col width="11" customWidth="1" style="60" min="3" max="3"/>
    <col width="24" customWidth="1" style="60" min="4" max="4"/>
    <col width="18" customWidth="1" style="60" min="5" max="5"/>
    <col width="16" customWidth="1" style="60" min="6" max="6"/>
    <col width="3" customWidth="1" style="60" min="7" max="7"/>
  </cols>
  <sheetData>
    <row r="2" ht="24" customHeight="1" s="60">
      <c r="B2" s="77" t="inlineStr">
        <is>
          <t>AI-Ready 표준 분석 카드</t>
        </is>
      </c>
    </row>
    <row r="4" ht="15" customHeight="1" s="60">
      <c r="B4" s="76" t="inlineStr">
        <is>
          <t>■ 식별 정보</t>
        </is>
      </c>
      <c r="C4" s="62" t="n"/>
      <c r="D4" s="62" t="n"/>
      <c r="E4" s="62" t="n"/>
      <c r="F4" s="62" t="n"/>
    </row>
    <row r="5" ht="15" customHeight="1" s="60">
      <c r="B5" s="10" t="inlineStr">
        <is>
          <t>표준번호</t>
        </is>
      </c>
      <c r="C5" s="89" t="n"/>
      <c r="D5" s="84" t="n"/>
      <c r="E5" s="10" t="inlineStr">
        <is>
          <t>판수</t>
        </is>
      </c>
      <c r="F5" s="89" t="n"/>
    </row>
    <row r="6" ht="15" customHeight="1" s="60">
      <c r="B6" s="10" t="inlineStr">
        <is>
          <t>표준명</t>
        </is>
      </c>
      <c r="C6" s="89" t="n"/>
      <c r="D6" s="84" t="n"/>
      <c r="E6" s="10" t="inlineStr">
        <is>
          <t>제정일</t>
        </is>
      </c>
      <c r="F6" s="89" t="n"/>
    </row>
    <row r="7" ht="15" customHeight="1" s="60">
      <c r="B7" s="10" t="inlineStr">
        <is>
          <t>소관 PG</t>
        </is>
      </c>
      <c r="C7" s="89" t="n"/>
      <c r="D7" s="84" t="n"/>
      <c r="E7" s="10" t="inlineStr">
        <is>
          <t>최근 개정일</t>
        </is>
      </c>
      <c r="F7" s="89" t="n"/>
    </row>
    <row r="8" ht="15" customHeight="1" s="60">
      <c r="B8" s="10" t="inlineStr">
        <is>
          <t>도메인 분류</t>
        </is>
      </c>
      <c r="C8" s="89" t="n"/>
      <c r="D8" s="84" t="n"/>
      <c r="E8" s="10" t="inlineStr">
        <is>
          <t>분석 담당자</t>
        </is>
      </c>
      <c r="F8" s="89" t="n"/>
    </row>
    <row r="10" ht="16.5" customHeight="1" s="60">
      <c r="B10" s="82" t="inlineStr">
        <is>
          <t>■ A축 — 품질·정합성 결함 점검</t>
        </is>
      </c>
      <c r="C10" s="62" t="n"/>
      <c r="D10" s="62" t="n"/>
      <c r="E10" s="62" t="n"/>
      <c r="F10" s="62" t="n"/>
    </row>
    <row r="11" ht="15" customHeight="1" s="60">
      <c r="B11" s="4" t="inlineStr">
        <is>
          <t>결함 유형</t>
        </is>
      </c>
      <c r="C11" s="2" t="inlineStr">
        <is>
          <t>발견</t>
        </is>
      </c>
      <c r="D11" s="71" t="inlineStr">
        <is>
          <t>구체 사례</t>
        </is>
      </c>
      <c r="E11" s="62" t="n"/>
      <c r="F11" s="2" t="inlineStr">
        <is>
          <t>자동검사</t>
        </is>
      </c>
    </row>
    <row r="12" ht="30" customHeight="1" s="60">
      <c r="B12" s="3" t="inlineStr">
        <is>
          <t>데이터 타입 정의 오류</t>
        </is>
      </c>
      <c r="C12" s="21" t="n"/>
      <c r="D12" s="87" t="n"/>
      <c r="E12" s="62" t="n"/>
      <c r="F12" s="22" t="n"/>
    </row>
    <row r="13" ht="30" customHeight="1" s="60">
      <c r="B13" s="3" t="inlineStr">
        <is>
          <t>단위 표기 모호성</t>
        </is>
      </c>
      <c r="C13" s="21" t="n"/>
      <c r="D13" s="87" t="n"/>
      <c r="E13" s="62" t="n"/>
      <c r="F13" s="22" t="n"/>
    </row>
    <row r="14" ht="30" customHeight="1" s="60">
      <c r="B14" s="3" t="inlineStr">
        <is>
          <t>인용/준용표준 분류 오류</t>
        </is>
      </c>
      <c r="C14" s="21" t="n"/>
      <c r="D14" s="87" t="n"/>
      <c r="E14" s="62" t="n"/>
      <c r="F14" s="22" t="n"/>
    </row>
    <row r="15" ht="30" customHeight="1" s="60">
      <c r="B15" s="3" t="inlineStr">
        <is>
          <t>코드/enum 정의 오류</t>
        </is>
      </c>
      <c r="C15" s="21" t="n"/>
      <c r="D15" s="87" t="n"/>
      <c r="E15" s="62" t="n"/>
      <c r="F15" s="22" t="n"/>
    </row>
    <row r="16" ht="30" customHeight="1" s="60">
      <c r="B16" s="3" t="inlineStr">
        <is>
          <t>오타·표기 불일치</t>
        </is>
      </c>
      <c r="C16" s="21" t="n"/>
      <c r="D16" s="87" t="n"/>
      <c r="E16" s="62" t="n"/>
      <c r="F16" s="22" t="n"/>
    </row>
    <row r="17" ht="30" customHeight="1" s="60">
      <c r="B17" s="3" t="inlineStr">
        <is>
          <t>내부 일관성</t>
        </is>
      </c>
      <c r="C17" s="21" t="n"/>
      <c r="D17" s="87" t="n"/>
      <c r="E17" s="62" t="n"/>
      <c r="F17" s="22" t="n"/>
    </row>
    <row r="18" ht="30" customHeight="1" s="60">
      <c r="B18" s="3" t="inlineStr">
        <is>
          <t>기타</t>
        </is>
      </c>
      <c r="C18" s="21" t="n"/>
      <c r="D18" s="87" t="n"/>
      <c r="E18" s="62" t="n"/>
      <c r="F18" s="22" t="n"/>
    </row>
    <row r="19" ht="15" customHeight="1" s="60">
      <c r="B19" s="15" t="inlineStr">
        <is>
          <t>결함 발견 수 (Y)</t>
        </is>
      </c>
      <c r="C19" s="86">
        <f>COUNTIF(C12:C18,"Y")</f>
        <v/>
      </c>
      <c r="D19" s="62" t="n"/>
      <c r="E19" s="62" t="n"/>
      <c r="F19" s="62" t="n"/>
    </row>
    <row r="21" ht="16.5" customHeight="1" s="60">
      <c r="B21" s="82" t="inlineStr">
        <is>
          <t>■ B축 — AI-Ready 7개 구성요소 성숙도</t>
        </is>
      </c>
      <c r="C21" s="62" t="n"/>
      <c r="D21" s="62" t="n"/>
      <c r="E21" s="62" t="n"/>
      <c r="F21" s="62" t="n"/>
    </row>
    <row r="22" ht="15" customHeight="1" s="60">
      <c r="B22" s="4" t="inlineStr">
        <is>
          <t>구성요소</t>
        </is>
      </c>
      <c r="C22" s="2" t="inlineStr">
        <is>
          <t>등급(0/1/2)</t>
        </is>
      </c>
      <c r="D22" s="4" t="inlineStr">
        <is>
          <t>근거</t>
        </is>
      </c>
      <c r="E22" s="71" t="inlineStr">
        <is>
          <t>충족 위한 매핑 대상</t>
        </is>
      </c>
      <c r="F22" s="62" t="n"/>
    </row>
    <row r="23" ht="31.5" customHeight="1" s="60">
      <c r="B23" s="3" t="inlineStr">
        <is>
          <t>시맨틱</t>
        </is>
      </c>
      <c r="C23" s="23" t="n"/>
      <c r="D23" s="24" t="n"/>
      <c r="E23" s="87" t="n"/>
      <c r="F23" s="62" t="n"/>
    </row>
    <row r="24" ht="31.5" customHeight="1" s="60">
      <c r="B24" s="3" t="inlineStr">
        <is>
          <t>데이터 모델</t>
        </is>
      </c>
      <c r="C24" s="23" t="n"/>
      <c r="D24" s="24" t="n"/>
      <c r="E24" s="87" t="n"/>
      <c r="F24" s="62" t="n"/>
    </row>
    <row r="25" ht="31.5" customHeight="1" s="60">
      <c r="B25" s="3" t="inlineStr">
        <is>
          <t>신태틱</t>
        </is>
      </c>
      <c r="C25" s="23" t="n"/>
      <c r="D25" s="24" t="n"/>
      <c r="E25" s="87" t="n"/>
      <c r="F25" s="62" t="n"/>
    </row>
    <row r="26" ht="31.5" customHeight="1" s="60">
      <c r="B26" s="3" t="inlineStr">
        <is>
          <t>운영 시맨틱</t>
        </is>
      </c>
      <c r="C26" s="23" t="n"/>
      <c r="D26" s="24" t="n"/>
      <c r="E26" s="87" t="n"/>
      <c r="F26" s="62" t="n"/>
    </row>
    <row r="27" ht="31.5" customHeight="1" s="60">
      <c r="B27" s="3" t="inlineStr">
        <is>
          <t>출처/계보</t>
        </is>
      </c>
      <c r="C27" s="23" t="n"/>
      <c r="D27" s="24" t="n"/>
      <c r="E27" s="87" t="n"/>
      <c r="F27" s="62" t="n"/>
    </row>
    <row r="28" ht="31.5" customHeight="1" s="60">
      <c r="B28" s="3" t="inlineStr">
        <is>
          <t>품질 프로파일</t>
        </is>
      </c>
      <c r="C28" s="23" t="n"/>
      <c r="D28" s="24" t="n"/>
      <c r="E28" s="87" t="n"/>
      <c r="F28" s="62" t="n"/>
    </row>
    <row r="29" ht="31.5" customHeight="1" s="60">
      <c r="B29" s="3" t="inlineStr">
        <is>
          <t>접근/사용 제약</t>
        </is>
      </c>
      <c r="C29" s="23" t="n"/>
      <c r="D29" s="24" t="n"/>
      <c r="E29" s="87" t="n"/>
      <c r="F29" s="62" t="n"/>
    </row>
    <row r="30" ht="15" customHeight="1" s="60">
      <c r="B30" s="15" t="inlineStr">
        <is>
          <t>성숙도 점수</t>
        </is>
      </c>
      <c r="C30" s="81">
        <f>IF(COUNT(C23:C29)=0,"",SUM(C23:C29)/14)</f>
        <v/>
      </c>
      <c r="D30" s="62" t="n"/>
      <c r="E30" s="62" t="n"/>
      <c r="F30" s="62" t="n"/>
    </row>
    <row r="32" ht="16.5" customHeight="1" s="60">
      <c r="B32" s="76" t="inlineStr">
        <is>
          <t>■ 종합 — 가장 시급한 개선 1~2개</t>
        </is>
      </c>
      <c r="C32" s="62" t="n"/>
      <c r="D32" s="62" t="n"/>
      <c r="E32" s="62" t="n"/>
      <c r="F32" s="62" t="n"/>
    </row>
    <row r="33" ht="21.75" customHeight="1" s="60">
      <c r="B33" s="88" t="n"/>
      <c r="C33" s="79" t="n"/>
      <c r="D33" s="79" t="n"/>
      <c r="E33" s="79" t="n"/>
      <c r="F33" s="79" t="n"/>
    </row>
    <row r="34" ht="21.75" customHeight="1" s="60">
      <c r="B34" s="8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dataValidations count="3">
    <dataValidation sqref="C12:C18" showDropDown="0" showInputMessage="0" showErrorMessage="0" allowBlank="1" type="list">
      <formula1>"Y,N,N/A"</formula1>
      <formula2>0</formula2>
    </dataValidation>
    <dataValidation sqref="F12:F18" showDropDown="0" showInputMessage="0" showErrorMessage="0" allowBlank="1" type="list">
      <formula1>"예,부분,아니오,—"</formula1>
      <formula2>0</formula2>
    </dataValidation>
    <dataValidation sqref="C23:C29" showDropDown="0" showInputMessage="0" showErrorMessage="0" allowBlank="1" type="list">
      <formula1>"0,1,2"</formula1>
      <formula2>0</formula2>
    </dataValidation>
  </dataValidations>
  <pageMargins left="0.3" right="0.3" top="0.4" bottom="0.4" header="0.511811023622047" footer="0.511811023622047"/>
  <pageSetup orientation="landscape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tabSelected="1" topLeftCell="A16" zoomScale="130" zoomScaleNormal="130" workbookViewId="0">
      <selection activeCell="I28" sqref="I28"/>
    </sheetView>
  </sheetViews>
  <sheetFormatPr baseColWidth="8" defaultColWidth="8.6328125" defaultRowHeight="14.5"/>
  <cols>
    <col width="3" customWidth="1" style="60" min="1" max="1"/>
    <col width="16" customWidth="1" style="60" min="2" max="2"/>
    <col width="26" customWidth="1" style="60" min="3" max="3"/>
    <col width="8" customWidth="1" style="60" min="4" max="4"/>
    <col width="11" customWidth="1" style="60" min="5" max="5"/>
    <col width="8" customWidth="1" style="60" min="6" max="8"/>
    <col width="9" customWidth="1" style="60" min="9" max="9"/>
    <col width="8" customWidth="1" style="60" min="10" max="11"/>
    <col width="9" customWidth="1" style="60" min="12" max="12"/>
    <col width="8" customWidth="1" style="60" min="13" max="13"/>
    <col width="9" customWidth="1" style="60" min="14" max="15"/>
    <col width="3" customWidth="1" style="60" min="16" max="16"/>
  </cols>
  <sheetData>
    <row r="2" ht="16.5" customHeight="1" s="60">
      <c r="B2" s="92" t="inlineStr">
        <is>
          <t>종합 매트릭스 — PG606 11종 × 7개 구성요소 (등급·결함수 전기, 합계·성숙도 자동계산)</t>
        </is>
      </c>
    </row>
    <row r="4" ht="24" customHeight="1" s="60">
      <c r="B4" s="25" t="inlineStr">
        <is>
          <t>표준번호</t>
        </is>
      </c>
      <c r="C4" s="25" t="inlineStr">
        <is>
          <t>표준명</t>
        </is>
      </c>
      <c r="D4" s="26" t="inlineStr">
        <is>
          <t>PG</t>
        </is>
      </c>
      <c r="E4" s="25" t="inlineStr">
        <is>
          <t>제정일</t>
        </is>
      </c>
      <c r="F4" s="25" t="inlineStr">
        <is>
          <t>시맨틱</t>
        </is>
      </c>
      <c r="G4" s="25" t="inlineStr">
        <is>
          <t>데이터
모델</t>
        </is>
      </c>
      <c r="H4" s="25" t="inlineStr">
        <is>
          <t>신태틱</t>
        </is>
      </c>
      <c r="I4" s="25" t="inlineStr">
        <is>
          <t>운영
시맨틱</t>
        </is>
      </c>
      <c r="J4" s="25" t="inlineStr">
        <is>
          <t>출처/
계보</t>
        </is>
      </c>
      <c r="K4" s="25" t="inlineStr">
        <is>
          <t>품질</t>
        </is>
      </c>
      <c r="L4" s="25" t="inlineStr">
        <is>
          <t>접근/
제약</t>
        </is>
      </c>
      <c r="M4" s="25" t="inlineStr">
        <is>
          <t>합계</t>
        </is>
      </c>
      <c r="N4" s="25" t="inlineStr">
        <is>
          <t>성숙도</t>
        </is>
      </c>
      <c r="O4" s="26" t="inlineStr">
        <is>
          <t>A축
결함수</t>
        </is>
      </c>
    </row>
    <row r="5" ht="24" customHeight="1" s="60">
      <c r="B5" s="27" t="inlineStr">
        <is>
          <t>TTAK.KO-10.1594</t>
        </is>
      </c>
      <c r="C5" s="19" t="inlineStr">
        <is>
          <t>AI 모델의 학습 데이터세트 관리와 상호운용성 지원을 위한 메타데이터</t>
        </is>
      </c>
      <c r="D5" s="28" t="inlineStr">
        <is>
          <t>PG606</t>
        </is>
      </c>
      <c r="E5" s="28" t="inlineStr">
        <is>
          <t>2025.12.05</t>
        </is>
      </c>
      <c r="F5" s="43" t="n">
        <v>2</v>
      </c>
      <c r="G5" s="44" t="n">
        <v>2</v>
      </c>
      <c r="H5" s="30" t="n">
        <v>1</v>
      </c>
      <c r="I5" s="54" t="n">
        <v>1</v>
      </c>
      <c r="J5" s="29" t="n">
        <v>2</v>
      </c>
      <c r="K5" s="29" t="n">
        <v>1</v>
      </c>
      <c r="L5" s="29" t="n">
        <v>2</v>
      </c>
      <c r="M5" s="31">
        <f>IF(COUNT(F5:L5)=0,"",SUM(F5:L5))</f>
        <v/>
      </c>
      <c r="N5" s="32">
        <f>IF(M5="","",M5/(COUNT(F5:L5)*2))</f>
        <v/>
      </c>
      <c r="O5" s="28" t="n">
        <v>4</v>
      </c>
    </row>
    <row r="6" ht="34.5" customHeight="1" s="60">
      <c r="B6" s="33" t="inlineStr">
        <is>
          <t>TTAK.KO-10.0976</t>
        </is>
      </c>
      <c r="C6" s="34" t="inlineStr">
        <is>
          <t>연구데이터 관리 및 공유를 위한 메타데이터</t>
        </is>
      </c>
      <c r="D6" s="35" t="inlineStr">
        <is>
          <t>PG606</t>
        </is>
      </c>
      <c r="E6" s="35" t="inlineStr">
        <is>
          <t>2017.03.30</t>
        </is>
      </c>
      <c r="F6" s="46" t="n">
        <v>1</v>
      </c>
      <c r="G6" s="46" t="n">
        <v>1</v>
      </c>
      <c r="H6" s="30" t="n">
        <v>1</v>
      </c>
      <c r="I6" s="44" t="inlineStr">
        <is>
          <t>N/A</t>
        </is>
      </c>
      <c r="J6" s="36" t="n">
        <v>1</v>
      </c>
      <c r="K6" s="30" t="n">
        <v>0</v>
      </c>
      <c r="L6" s="37" t="n">
        <v>1</v>
      </c>
      <c r="M6" s="31">
        <f>IF(COUNT(F6:L6)=0,"",SUM(F6:L6))</f>
        <v/>
      </c>
      <c r="N6" s="32">
        <f>IF(M6="","",M6/(COUNT(F6:L6)*2))</f>
        <v/>
      </c>
      <c r="O6" s="35" t="n">
        <v>2</v>
      </c>
    </row>
    <row r="7" ht="24" customHeight="1" s="60">
      <c r="B7" s="33" t="inlineStr">
        <is>
          <t>TTAK.KO-10.1284</t>
        </is>
      </c>
      <c r="C7" s="38" t="inlineStr">
        <is>
          <t>임산공학 연구데이터 관리 및 공유를 위한 메타데이터</t>
        </is>
      </c>
      <c r="D7" s="35" t="inlineStr">
        <is>
          <t>PG606</t>
        </is>
      </c>
      <c r="E7" s="35" t="inlineStr">
        <is>
          <t>2021.06.30.</t>
        </is>
      </c>
      <c r="F7" s="44" t="n">
        <v>1</v>
      </c>
      <c r="G7" s="44" t="n">
        <v>1</v>
      </c>
      <c r="H7" s="30" t="n">
        <v>1</v>
      </c>
      <c r="I7" s="54" t="inlineStr">
        <is>
          <t>N/A</t>
        </is>
      </c>
      <c r="J7" s="30" t="n">
        <v>1</v>
      </c>
      <c r="K7" s="29" t="n">
        <v>0</v>
      </c>
      <c r="L7" s="30" t="n">
        <v>1</v>
      </c>
      <c r="M7" s="31">
        <f>IF(COUNT(F7:L7)=0,"",SUM(F7:L7))</f>
        <v/>
      </c>
      <c r="N7" s="32">
        <f>IF(M7="","",M7/(COUNT(F7:L7)*2))</f>
        <v/>
      </c>
      <c r="O7" s="35" t="n">
        <v>2</v>
      </c>
    </row>
    <row r="8" ht="24" customHeight="1" s="60">
      <c r="B8" s="33" t="inlineStr">
        <is>
          <t>TTAK.KO-10.1595</t>
        </is>
      </c>
      <c r="C8" s="38" t="inlineStr">
        <is>
          <t>인공지능 학습용 데이터 구축 공정 기반의 메타데이터</t>
        </is>
      </c>
      <c r="D8" s="35" t="inlineStr">
        <is>
          <t>PG606</t>
        </is>
      </c>
      <c r="E8" s="35" t="inlineStr">
        <is>
          <t>2025.12.05</t>
        </is>
      </c>
      <c r="F8" s="44" t="n">
        <v>0</v>
      </c>
      <c r="G8" s="46" t="n">
        <v>1</v>
      </c>
      <c r="H8" s="30" t="n">
        <v>0</v>
      </c>
      <c r="I8" s="54" t="n">
        <v>1</v>
      </c>
      <c r="J8" s="30" t="n">
        <v>1</v>
      </c>
      <c r="K8" s="29" t="n">
        <v>1</v>
      </c>
      <c r="L8" s="29" t="n">
        <v>1</v>
      </c>
      <c r="M8" s="31">
        <f>IF(COUNT(F8:L8)=0,"",SUM(F8:L8))</f>
        <v/>
      </c>
      <c r="N8" s="32">
        <f>IF(M8="","",M8/(COUNT(F8:L8)*2))</f>
        <v/>
      </c>
      <c r="O8" s="35" t="n">
        <v>3</v>
      </c>
    </row>
    <row r="9" ht="34.5" customHeight="1" s="60">
      <c r="B9" s="33" t="inlineStr">
        <is>
          <t>TTAK.KO-10.1465</t>
        </is>
      </c>
      <c r="C9" s="34" t="inlineStr">
        <is>
          <t>지식정보자원의 도표 공정사용 검증을 위한 메타데이터</t>
        </is>
      </c>
      <c r="D9" s="35" t="inlineStr">
        <is>
          <t>PG606</t>
        </is>
      </c>
      <c r="E9" s="35" t="inlineStr">
        <is>
          <t>2023.12.06.</t>
        </is>
      </c>
      <c r="F9" s="43" t="n">
        <v>1</v>
      </c>
      <c r="G9" s="44" t="n">
        <v>1</v>
      </c>
      <c r="H9" s="30" t="n">
        <v>0</v>
      </c>
      <c r="I9" s="43" t="inlineStr">
        <is>
          <t>N/A</t>
        </is>
      </c>
      <c r="J9" s="29" t="n">
        <v>1</v>
      </c>
      <c r="K9" s="30" t="n">
        <v>0</v>
      </c>
      <c r="L9" s="29" t="n">
        <v>1</v>
      </c>
      <c r="M9" s="31">
        <f>IF(COUNT(F9:L9)=0,"",SUM(F9:L9))</f>
        <v/>
      </c>
      <c r="N9" s="32">
        <f>IF(M9="","",M9/(COUNT(F9:L9)*2))</f>
        <v/>
      </c>
      <c r="O9" s="35" t="n">
        <v>3</v>
      </c>
    </row>
    <row r="10" ht="24" customHeight="1" s="60">
      <c r="B10" s="27" t="inlineStr">
        <is>
          <t>TTAK.KO-10.1598</t>
        </is>
      </c>
      <c r="C10" s="19" t="inlineStr">
        <is>
          <t>무기체계 센서데이터 관리를 위한 메타데이터</t>
        </is>
      </c>
      <c r="D10" s="28" t="inlineStr">
        <is>
          <t>PG606</t>
        </is>
      </c>
      <c r="E10" s="28" t="inlineStr">
        <is>
          <t>2025.12.05</t>
        </is>
      </c>
      <c r="F10" s="43" t="n">
        <v>0</v>
      </c>
      <c r="G10" s="44" t="n">
        <v>1</v>
      </c>
      <c r="H10" s="43" t="n">
        <v>0</v>
      </c>
      <c r="I10" s="44" t="inlineStr">
        <is>
          <t>N/A</t>
        </is>
      </c>
      <c r="J10" s="44" t="n">
        <v>1</v>
      </c>
      <c r="K10" s="44" t="n">
        <v>1</v>
      </c>
      <c r="L10" s="44" t="n">
        <v>1</v>
      </c>
      <c r="M10" s="31">
        <f>IF(COUNT(F10:L10)=0,"",SUM(F10:L10))</f>
        <v/>
      </c>
      <c r="N10" s="32">
        <f>IF(M10="","",M10/(COUNT(F10:L10)*2))</f>
        <v/>
      </c>
      <c r="O10" s="28" t="n">
        <v>3</v>
      </c>
    </row>
    <row r="11" ht="34.5" customHeight="1" s="60">
      <c r="B11" s="33" t="inlineStr">
        <is>
          <t>TTAK.KO-10.1533</t>
        </is>
      </c>
      <c r="C11" s="34" t="inlineStr">
        <is>
          <t>농업 분야 인공지능 학습용 데이터 플랫폼 관리를 위한 메타데이터 스키마</t>
        </is>
      </c>
      <c r="D11" s="35" t="inlineStr">
        <is>
          <t>PG606</t>
        </is>
      </c>
      <c r="E11" s="35" t="inlineStr">
        <is>
          <t>2024.12.06</t>
        </is>
      </c>
      <c r="F11" s="43" t="n">
        <v>0</v>
      </c>
      <c r="G11" s="44" t="n">
        <v>1</v>
      </c>
      <c r="H11" s="43" t="n">
        <v>0</v>
      </c>
      <c r="I11" s="43" t="n">
        <v>0</v>
      </c>
      <c r="J11" s="44" t="n">
        <v>1</v>
      </c>
      <c r="K11" s="44" t="n">
        <v>1</v>
      </c>
      <c r="L11" s="45" t="n">
        <v>1</v>
      </c>
      <c r="M11" s="31">
        <f>IF(COUNT(F11:L11)=0,"",SUM(F11:L11))</f>
        <v/>
      </c>
      <c r="N11" s="32">
        <f>IF(M11="","",M11/(COUNT(F11:L11)*2))</f>
        <v/>
      </c>
      <c r="O11" s="35" t="n">
        <v>6</v>
      </c>
    </row>
    <row r="12" ht="23" customHeight="1" s="60">
      <c r="B12" s="33" t="inlineStr">
        <is>
          <t>TTAK.KO-10.1571</t>
        </is>
      </c>
      <c r="C12" s="34" t="inlineStr">
        <is>
          <t>철강산업 기업간 제조업무 데이터 공유를 위한 메타데이터</t>
        </is>
      </c>
      <c r="D12" s="35" t="inlineStr">
        <is>
          <t>PG606</t>
        </is>
      </c>
      <c r="E12" s="35" t="inlineStr">
        <is>
          <t>2025.06.27</t>
        </is>
      </c>
      <c r="F12" s="43" t="n">
        <v>0</v>
      </c>
      <c r="G12" s="44" t="n">
        <v>1</v>
      </c>
      <c r="H12" s="43" t="n">
        <v>0</v>
      </c>
      <c r="I12" s="54" t="inlineStr">
        <is>
          <t>N/A</t>
        </is>
      </c>
      <c r="J12" s="44" t="n">
        <v>1</v>
      </c>
      <c r="K12" s="43" t="n">
        <v>0</v>
      </c>
      <c r="L12" s="45" t="n">
        <v>1</v>
      </c>
      <c r="M12" s="31">
        <f>IF(COUNT(F12:L12)=0,"",SUM(F12:L12))</f>
        <v/>
      </c>
      <c r="N12" s="32">
        <f>IF(M12="","",M12/(COUNT(F12:L12)*2))</f>
        <v/>
      </c>
      <c r="O12" s="35" t="n">
        <v>6</v>
      </c>
    </row>
    <row r="13" ht="23" customHeight="1" s="60">
      <c r="B13" s="33" t="inlineStr">
        <is>
          <t>TTAK.KO-11.0222</t>
        </is>
      </c>
      <c r="C13" s="34" t="inlineStr">
        <is>
          <t>기상 예측 모델 공통 데이터 요소 및 운영 방법</t>
        </is>
      </c>
      <c r="D13" s="35" t="inlineStr">
        <is>
          <t>PG606</t>
        </is>
      </c>
      <c r="E13" s="35" t="inlineStr">
        <is>
          <t>2016.12.27.</t>
        </is>
      </c>
      <c r="F13" s="43" t="n">
        <v>0</v>
      </c>
      <c r="G13" s="44" t="n">
        <v>1</v>
      </c>
      <c r="H13" s="43" t="n">
        <v>0</v>
      </c>
      <c r="I13" s="54" t="inlineStr">
        <is>
          <t>N/A</t>
        </is>
      </c>
      <c r="J13" s="44" t="n">
        <v>1</v>
      </c>
      <c r="K13" s="44" t="n">
        <v>1</v>
      </c>
      <c r="L13" s="45" t="n">
        <v>0</v>
      </c>
      <c r="M13" s="31">
        <f>IF(COUNT(F13:L13)=0,"",SUM(F13:L13))</f>
        <v/>
      </c>
      <c r="N13" s="32">
        <f>IF(M13="","",M13/(COUNT(F13:L13)*2))</f>
        <v/>
      </c>
      <c r="O13" s="35" t="n">
        <v>5</v>
      </c>
    </row>
    <row r="14" ht="34.5" customHeight="1" s="60">
      <c r="B14" s="33" t="inlineStr">
        <is>
          <t>TTAK.KO-10.1344-Part2</t>
        </is>
      </c>
      <c r="C14" s="34" t="inlineStr">
        <is>
          <t>유통‧활용 데이터 점검 방법 - 제2부: 비정형 데이터 품질지표</t>
        </is>
      </c>
      <c r="D14" s="35" t="inlineStr">
        <is>
          <t>PG606</t>
        </is>
      </c>
      <c r="E14" s="35" t="inlineStr">
        <is>
          <t>2023.12.06</t>
        </is>
      </c>
      <c r="F14" s="46" t="n">
        <v>0</v>
      </c>
      <c r="G14" s="46" t="n">
        <v>0</v>
      </c>
      <c r="H14" s="46" t="n">
        <v>0</v>
      </c>
      <c r="I14" s="54" t="inlineStr">
        <is>
          <t>N/A</t>
        </is>
      </c>
      <c r="J14" s="44" t="n">
        <v>0</v>
      </c>
      <c r="K14" s="44" t="n">
        <v>1</v>
      </c>
      <c r="L14" s="47" t="n">
        <v>0</v>
      </c>
      <c r="M14" s="31">
        <f>IF(COUNT(F14:L14)=0,"",SUM(F14:L14))</f>
        <v/>
      </c>
      <c r="N14" s="32">
        <f>IF(M14="","",M14/(COUNT(F14:L14)*2))</f>
        <v/>
      </c>
      <c r="O14" s="35" t="n">
        <v>3</v>
      </c>
    </row>
    <row r="15" ht="57.5" customHeight="1" s="60">
      <c r="B15" s="33" t="inlineStr">
        <is>
          <t>TTAK.KO-10.1506</t>
        </is>
      </c>
      <c r="C15" s="34" t="inlineStr">
        <is>
          <t>OWPML 문서 메타데이터를 데이터베이스 스키마에 매핑하기 위한 변환 절차</t>
        </is>
      </c>
      <c r="D15" s="35" t="inlineStr">
        <is>
          <t>PG606</t>
        </is>
      </c>
      <c r="E15" s="35" t="inlineStr">
        <is>
          <t>2024.06.28.</t>
        </is>
      </c>
      <c r="F15" s="46" t="n">
        <v>0</v>
      </c>
      <c r="G15" s="46" t="n">
        <v>1</v>
      </c>
      <c r="H15" s="46" t="n">
        <v>0</v>
      </c>
      <c r="I15" s="54" t="inlineStr">
        <is>
          <t>N/A</t>
        </is>
      </c>
      <c r="J15" s="44" t="n">
        <v>0</v>
      </c>
      <c r="K15" s="44" t="n">
        <v>0</v>
      </c>
      <c r="L15" s="48" t="n">
        <v>0</v>
      </c>
      <c r="M15" s="31">
        <f>IF(COUNT(F15:L15)=0,"",SUM(F15:L15))</f>
        <v/>
      </c>
      <c r="N15" s="32">
        <f>IF(M15="","",M15/(COUNT(F15:L15)*2))</f>
        <v/>
      </c>
      <c r="O15" s="35" t="n">
        <v>4</v>
      </c>
    </row>
    <row r="16" ht="46" customHeight="1" s="60">
      <c r="B16" s="33" t="n"/>
      <c r="C16" s="34" t="n"/>
      <c r="D16" s="35" t="n"/>
      <c r="E16" s="35" t="n"/>
      <c r="F16" s="44" t="n"/>
      <c r="G16" s="44" t="n"/>
      <c r="H16" s="44" t="n"/>
      <c r="I16" s="54" t="n"/>
      <c r="J16" s="44" t="n"/>
      <c r="K16" s="43" t="n"/>
      <c r="L16" s="47" t="n"/>
      <c r="M16" s="31" t="n"/>
      <c r="N16" s="32" t="n"/>
      <c r="O16" s="35" t="n"/>
    </row>
    <row r="17" ht="57.5" customHeight="1" s="60">
      <c r="B17" s="33" t="n"/>
      <c r="C17" s="34" t="n"/>
      <c r="D17" s="35" t="n"/>
      <c r="E17" s="35" t="n"/>
      <c r="F17" s="43" t="n"/>
      <c r="G17" s="44" t="n"/>
      <c r="H17" s="44" t="n"/>
      <c r="I17" s="43" t="n"/>
      <c r="J17" s="43" t="n"/>
      <c r="K17" s="44" t="n"/>
      <c r="L17" s="45" t="n"/>
      <c r="M17" s="31" t="n"/>
      <c r="N17" s="32" t="n"/>
      <c r="O17" s="35" t="n"/>
    </row>
    <row r="18" ht="57.5" customHeight="1" s="60">
      <c r="B18" s="33" t="n"/>
      <c r="C18" s="34" t="n"/>
      <c r="D18" s="35" t="n"/>
      <c r="E18" s="35" t="n"/>
      <c r="F18" s="43" t="n"/>
      <c r="G18" s="43" t="n"/>
      <c r="H18" s="43" t="n"/>
      <c r="I18" s="54" t="n"/>
      <c r="J18" s="43" t="n"/>
      <c r="K18" s="44" t="n"/>
      <c r="L18" s="47" t="n"/>
      <c r="M18" s="31" t="n"/>
      <c r="N18" s="32" t="n"/>
      <c r="O18" s="35" t="n"/>
    </row>
    <row r="19" ht="23" customHeight="1" s="60">
      <c r="B19" s="33" t="n"/>
      <c r="C19" s="34" t="n"/>
      <c r="D19" s="35" t="n"/>
      <c r="E19" s="35" t="n"/>
      <c r="F19" s="46" t="n"/>
      <c r="G19" s="44" t="n"/>
      <c r="H19" s="46" t="n"/>
      <c r="I19" s="54" t="n"/>
      <c r="J19" s="44" t="n"/>
      <c r="K19" s="43" t="n"/>
      <c r="L19" s="45" t="n"/>
      <c r="M19" s="31" t="n"/>
      <c r="N19" s="32" t="n"/>
      <c r="O19" s="35" t="n"/>
    </row>
    <row r="20" ht="57.5" customHeight="1" s="60">
      <c r="B20" s="33" t="n"/>
      <c r="C20" s="34" t="n"/>
      <c r="D20" s="35" t="n"/>
      <c r="E20" s="35" t="n"/>
      <c r="F20" s="43" t="n"/>
      <c r="G20" s="44" t="n"/>
      <c r="H20" s="44" t="n"/>
      <c r="I20" s="54" t="n"/>
      <c r="J20" s="44" t="n"/>
      <c r="K20" s="43" t="n"/>
      <c r="L20" s="45" t="n"/>
      <c r="M20" s="31" t="n"/>
      <c r="N20" s="32" t="n"/>
      <c r="O20" s="35" t="n"/>
    </row>
    <row r="22">
      <c r="B22" s="94" t="inlineStr">
        <is>
          <t>구성요소별 평균</t>
        </is>
      </c>
      <c r="C22" s="62" t="n"/>
      <c r="D22" s="62" t="n"/>
      <c r="E22" s="84" t="n"/>
      <c r="F22" s="95">
        <f>IFERROR(AVERAGE(F5:F20),"")</f>
        <v/>
      </c>
      <c r="G22" s="95">
        <f>IFERROR(AVERAGE(G5:G20),"")</f>
        <v/>
      </c>
      <c r="H22" s="95">
        <f>IFERROR(AVERAGE(H5:H20),"")</f>
        <v/>
      </c>
      <c r="I22" s="95">
        <f>IFERROR(AVERAGE(I5:I20),"")</f>
        <v/>
      </c>
      <c r="J22" s="95">
        <f>IFERROR(AVERAGE(J5:J20),"")</f>
        <v/>
      </c>
      <c r="K22" s="95">
        <f>IFERROR(AVERAGE(K5:K20),"")</f>
        <v/>
      </c>
      <c r="L22" s="95">
        <f>IFERROR(AVERAGE(L5:L20),"")</f>
        <v/>
      </c>
      <c r="M22" s="40">
        <f>IFERROR(AVERAGE(M5:M20),"")</f>
        <v/>
      </c>
      <c r="N22" s="41">
        <f>IFERROR(AVERAGE(N5:N20),"")</f>
        <v/>
      </c>
      <c r="O22" s="95">
        <f>IFERROR(AVERAGE(O5:O20),"")</f>
        <v/>
      </c>
    </row>
    <row r="24">
      <c r="B24" s="91" t="inlineStr">
        <is>
          <t>파란 글씨 칸 = 직접 입력(등급 0/1/2, 결함수). 검정/합계·성숙도·평균 = 자동 계산. 평균이 낮은 구성요소가 공통 공백 → 수준 요건의 핵심 근거.</t>
        </is>
      </c>
      <c r="C24" s="62" t="n"/>
      <c r="D24" s="62" t="n"/>
      <c r="E24" s="62" t="n"/>
      <c r="F24" s="62" t="n"/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</row>
    <row r="27" ht="17" customHeight="1" s="60">
      <c r="B27" s="90" t="inlineStr">
        <is>
          <t>■ 유형별 평균 성숙도 (PG606 11종 분류)</t>
        </is>
      </c>
    </row>
    <row r="28" ht="16" customHeight="1" s="60">
      <c r="B28" s="93" t="inlineStr">
        <is>
          <t>유형</t>
        </is>
      </c>
      <c r="C28" s="93" t="inlineStr">
        <is>
          <t>표준 수</t>
        </is>
      </c>
      <c r="D28" s="93" t="inlineStr">
        <is>
          <t>평균 성숙도</t>
        </is>
      </c>
      <c r="E28" s="96" t="inlineStr">
        <is>
          <t>표준번호</t>
        </is>
      </c>
      <c r="F28" s="97" t="n"/>
      <c r="G28" s="98" t="n"/>
      <c r="H28" s="96" t="inlineStr">
        <is>
          <t>표준명</t>
        </is>
      </c>
      <c r="I28" s="97" t="n"/>
      <c r="J28" s="97" t="n"/>
      <c r="K28" s="97" t="n"/>
      <c r="L28" s="97" t="n"/>
      <c r="M28" s="97" t="n"/>
      <c r="N28" s="97" t="n"/>
      <c r="O28" s="98" t="n"/>
    </row>
    <row r="29" ht="78" customHeight="1" s="60">
      <c r="B29" s="50" t="inlineStr">
        <is>
          <t>메타데이터(AI)</t>
        </is>
      </c>
      <c r="C29" s="51" t="n">
        <v>3</v>
      </c>
      <c r="D29" s="55" t="n">
        <v>0.48</v>
      </c>
      <c r="E29" s="99" t="inlineStr">
        <is>
          <t>TTAK.KO-10.1594
TTAK.KO-10.1595
TTAK.KO-10.1533</t>
        </is>
      </c>
      <c r="F29" s="97" t="n"/>
      <c r="G29" s="98" t="n"/>
      <c r="H29" s="100" t="inlineStr">
        <is>
          <t>AI 모델의 학습 데이터세트 관리와 상호운용성 지원을 위한 메타데이터
인공지능 학습용 데이터 구축 공정 기반의 메타데이터
농업 분야 인공지능 학습용 데이터 플랫폼 관리를 위한 메타데이터 스키마</t>
        </is>
      </c>
      <c r="I29" s="97" t="n"/>
      <c r="J29" s="97" t="n"/>
      <c r="K29" s="97" t="n"/>
      <c r="L29" s="97" t="n"/>
      <c r="M29" s="97" t="n"/>
      <c r="N29" s="97" t="n"/>
      <c r="O29" s="98" t="n"/>
    </row>
    <row r="30" ht="52" customHeight="1" s="60">
      <c r="B30" s="50" t="inlineStr">
        <is>
          <t>메타데이터(연구·범용)</t>
        </is>
      </c>
      <c r="C30" s="51" t="n">
        <v>2</v>
      </c>
      <c r="D30" s="55" t="n">
        <v>0.42</v>
      </c>
      <c r="E30" s="99" t="inlineStr">
        <is>
          <t>TTAK.KO-10.0976
TTAK.KO-10.1284</t>
        </is>
      </c>
      <c r="F30" s="97" t="n"/>
      <c r="G30" s="98" t="n"/>
      <c r="H30" s="100" t="inlineStr">
        <is>
          <t>연구데이터 관리 및 공유를 위한 메타데이터
임산공학 연구데이터 관리 및 공유를 위한 메타데이터</t>
        </is>
      </c>
      <c r="I30" s="97" t="n"/>
      <c r="J30" s="97" t="n"/>
      <c r="K30" s="97" t="n"/>
      <c r="L30" s="97" t="n"/>
      <c r="M30" s="97" t="n"/>
      <c r="N30" s="97" t="n"/>
      <c r="O30" s="98" t="n"/>
    </row>
    <row r="31" ht="26" customHeight="1" s="60">
      <c r="B31" s="50" t="inlineStr">
        <is>
          <t>메타데이터(지식정보)</t>
        </is>
      </c>
      <c r="C31" s="51" t="n">
        <v>1</v>
      </c>
      <c r="D31" s="55" t="n">
        <v>0.33</v>
      </c>
      <c r="E31" s="99" t="inlineStr">
        <is>
          <t>TTAK.KO-10.1465</t>
        </is>
      </c>
      <c r="F31" s="97" t="n"/>
      <c r="G31" s="98" t="n"/>
      <c r="H31" s="100" t="inlineStr">
        <is>
          <t>지식정보자원의 도표 공정사용 검증을 위한 메타데이터</t>
        </is>
      </c>
      <c r="I31" s="97" t="n"/>
      <c r="J31" s="97" t="n"/>
      <c r="K31" s="97" t="n"/>
      <c r="L31" s="97" t="n"/>
      <c r="M31" s="97" t="n"/>
      <c r="N31" s="97" t="n"/>
      <c r="O31" s="98" t="n"/>
    </row>
    <row r="32" ht="26" customHeight="1" s="60">
      <c r="B32" s="50" t="inlineStr">
        <is>
          <t>메타데이터(센서)</t>
        </is>
      </c>
      <c r="C32" s="51" t="n">
        <v>1</v>
      </c>
      <c r="D32" s="56" t="n">
        <v>0.33</v>
      </c>
      <c r="E32" s="99" t="inlineStr">
        <is>
          <t>TTAK.KO-10.1598</t>
        </is>
      </c>
      <c r="F32" s="97" t="n"/>
      <c r="G32" s="98" t="n"/>
      <c r="H32" s="100" t="inlineStr">
        <is>
          <t>무기체계 센서데이터 관리를 위한 메타데이터</t>
        </is>
      </c>
      <c r="I32" s="97" t="n"/>
      <c r="J32" s="97" t="n"/>
      <c r="K32" s="97" t="n"/>
      <c r="L32" s="97" t="n"/>
      <c r="M32" s="97" t="n"/>
      <c r="N32" s="97" t="n"/>
      <c r="O32" s="98" t="n"/>
    </row>
    <row r="33" ht="26" customHeight="1" s="60">
      <c r="B33" s="50" t="inlineStr">
        <is>
          <t>메타데이터(산업)</t>
        </is>
      </c>
      <c r="C33" s="51" t="n">
        <v>1</v>
      </c>
      <c r="D33" s="56" t="n">
        <v>0.25</v>
      </c>
      <c r="E33" s="99" t="inlineStr">
        <is>
          <t>TTAK.KO-10.1571</t>
        </is>
      </c>
      <c r="F33" s="97" t="n"/>
      <c r="G33" s="98" t="n"/>
      <c r="H33" s="100" t="inlineStr">
        <is>
          <t>철강산업 기업간 제조업무 데이터 공유를 위한 메타데이터</t>
        </is>
      </c>
      <c r="I33" s="97" t="n"/>
      <c r="J33" s="97" t="n"/>
      <c r="K33" s="97" t="n"/>
      <c r="L33" s="97" t="n"/>
      <c r="M33" s="97" t="n"/>
      <c r="N33" s="97" t="n"/>
      <c r="O33" s="98" t="n"/>
    </row>
    <row r="34" ht="26" customHeight="1" s="60">
      <c r="B34" s="50" t="inlineStr">
        <is>
          <t>운영 메타(재난예측)</t>
        </is>
      </c>
      <c r="C34" s="51" t="n">
        <v>1</v>
      </c>
      <c r="D34" s="56" t="n">
        <v>0.25</v>
      </c>
      <c r="E34" s="99" t="inlineStr">
        <is>
          <t>TTAK.KO-11.0222</t>
        </is>
      </c>
      <c r="F34" s="97" t="n"/>
      <c r="G34" s="98" t="n"/>
      <c r="H34" s="100" t="inlineStr">
        <is>
          <t>기상 예측 모델 공통 데이터 요소 및 운영 방법</t>
        </is>
      </c>
      <c r="I34" s="97" t="n"/>
      <c r="J34" s="97" t="n"/>
      <c r="K34" s="97" t="n"/>
      <c r="L34" s="97" t="n"/>
      <c r="M34" s="97" t="n"/>
      <c r="N34" s="97" t="n"/>
      <c r="O34" s="98" t="n"/>
    </row>
    <row r="35" ht="26" customHeight="1" s="60">
      <c r="B35" s="50" t="inlineStr">
        <is>
          <t>품질 검증</t>
        </is>
      </c>
      <c r="C35" s="51" t="n">
        <v>1</v>
      </c>
      <c r="D35" s="57" t="n">
        <v>0.08</v>
      </c>
      <c r="E35" s="99" t="inlineStr">
        <is>
          <t>TTAK.KO-10.1344-Part2</t>
        </is>
      </c>
      <c r="F35" s="97" t="n"/>
      <c r="G35" s="98" t="n"/>
      <c r="H35" s="100" t="inlineStr">
        <is>
          <t>유통‧활용 데이터 점검 방법 - 제2부: 비정형 데이터 품질지표</t>
        </is>
      </c>
      <c r="I35" s="97" t="n"/>
      <c r="J35" s="97" t="n"/>
      <c r="K35" s="97" t="n"/>
      <c r="L35" s="97" t="n"/>
      <c r="M35" s="97" t="n"/>
      <c r="N35" s="97" t="n"/>
      <c r="O35" s="98" t="n"/>
    </row>
    <row r="36" ht="26" customHeight="1" s="60">
      <c r="B36" s="50" t="inlineStr">
        <is>
          <t>변환 절차</t>
        </is>
      </c>
      <c r="C36" s="51" t="n">
        <v>1</v>
      </c>
      <c r="D36" s="57" t="n">
        <v>0.08</v>
      </c>
      <c r="E36" s="99" t="inlineStr">
        <is>
          <t>TTAK.KO-10.1506</t>
        </is>
      </c>
      <c r="F36" s="97" t="n"/>
      <c r="G36" s="98" t="n"/>
      <c r="H36" s="100" t="inlineStr">
        <is>
          <t>OWPML 문서 메타데이터를 데이터베이스 스키마에 매핑하기 위한 변환 절차</t>
        </is>
      </c>
      <c r="I36" s="97" t="n"/>
      <c r="J36" s="97" t="n"/>
      <c r="K36" s="97" t="n"/>
      <c r="L36" s="97" t="n"/>
      <c r="M36" s="97" t="n"/>
      <c r="N36" s="97" t="n"/>
      <c r="O36" s="98" t="n"/>
    </row>
    <row r="37" ht="16" customHeight="1" s="60">
      <c r="B37" s="50" t="n"/>
      <c r="C37" s="51" t="n"/>
      <c r="D37" s="57" t="n"/>
      <c r="E37" s="52" t="n"/>
    </row>
    <row r="38" ht="16" customHeight="1" s="60">
      <c r="B38" s="50" t="n"/>
      <c r="C38" s="51" t="n"/>
      <c r="D38" s="57" t="n"/>
      <c r="E38" s="52" t="n"/>
    </row>
    <row r="39" ht="16" customHeight="1" s="60">
      <c r="B39" s="50" t="n"/>
      <c r="C39" s="51" t="n"/>
      <c r="D39" s="57" t="n"/>
      <c r="E39" s="52" t="n"/>
    </row>
  </sheetData>
  <mergeCells count="23">
    <mergeCell ref="E28:G28"/>
    <mergeCell ref="H35:O35"/>
    <mergeCell ref="H29:O29"/>
    <mergeCell ref="E31:G31"/>
    <mergeCell ref="E34:G34"/>
    <mergeCell ref="E30:G30"/>
    <mergeCell ref="H31:O31"/>
    <mergeCell ref="B27:O27"/>
    <mergeCell ref="H34:O34"/>
    <mergeCell ref="E36:G36"/>
    <mergeCell ref="B2:O2"/>
    <mergeCell ref="H36:O36"/>
    <mergeCell ref="B22:E22"/>
    <mergeCell ref="E32:G32"/>
    <mergeCell ref="H32:O32"/>
    <mergeCell ref="H28:O28"/>
    <mergeCell ref="E33:G33"/>
    <mergeCell ref="B24:O24"/>
    <mergeCell ref="H33:O33"/>
    <mergeCell ref="E35:G35"/>
    <mergeCell ref="B28"/>
    <mergeCell ref="E29:G29"/>
    <mergeCell ref="H30:O30"/>
  </mergeCells>
  <dataValidations count="1">
    <dataValidation sqref="F5:L14" showDropDown="0" showInputMessage="0" showErrorMessage="0" allowBlank="1" type="list">
      <formula1>"0,1,2"</formula1>
      <formula2>0</formula2>
    </dataValidation>
  </dataValidations>
  <pageMargins left="0.3" right="0.3" top="0.4" bottom="0.4" header="0.511811023622047" footer="0.511811023622047"/>
  <pageSetup orientation="landscape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zoomScaleNormal="100" workbookViewId="0">
      <selection activeCell="A1" sqref="A1"/>
    </sheetView>
  </sheetViews>
  <sheetFormatPr baseColWidth="8" defaultColWidth="8.6328125" defaultRowHeight="14.5"/>
  <cols>
    <col width="3" customWidth="1" style="60" min="1" max="1"/>
    <col width="20" customWidth="1" style="60" min="2" max="2"/>
    <col width="11" customWidth="1" style="60" min="3" max="3"/>
    <col width="24" customWidth="1" style="60" min="4" max="4"/>
    <col width="18" customWidth="1" style="60" min="5" max="5"/>
    <col width="16" customWidth="1" style="60" min="6" max="6"/>
    <col width="3" customWidth="1" style="60" min="7" max="7"/>
  </cols>
  <sheetData>
    <row r="2" ht="24" customHeight="1" s="60">
      <c r="B2" s="77" t="inlineStr">
        <is>
          <t>AI-Ready 표준 분석 카드</t>
        </is>
      </c>
    </row>
    <row r="4" ht="15" customHeight="1" s="60">
      <c r="B4" s="76" t="inlineStr">
        <is>
          <t>■ 식별 정보</t>
        </is>
      </c>
      <c r="C4" s="62" t="n"/>
      <c r="D4" s="62" t="n"/>
      <c r="E4" s="62" t="n"/>
      <c r="F4" s="62" t="n"/>
    </row>
    <row r="5" ht="15" customHeight="1" s="60">
      <c r="B5" s="10" t="inlineStr">
        <is>
          <t>표준번호</t>
        </is>
      </c>
      <c r="C5" s="85" t="inlineStr">
        <is>
          <t>TTAK.KO-10.1594</t>
        </is>
      </c>
      <c r="D5" s="84" t="n"/>
      <c r="E5" s="10" t="inlineStr">
        <is>
          <t>판수</t>
        </is>
      </c>
      <c r="F5" s="83" t="inlineStr">
        <is>
          <t>제1판</t>
        </is>
      </c>
    </row>
    <row r="6" ht="29.25" customHeight="1" s="60">
      <c r="B6" s="10" t="inlineStr">
        <is>
          <t>표준명</t>
        </is>
      </c>
      <c r="C6" s="83" t="inlineStr">
        <is>
          <t>AI 모델의 학습 데이터세트 관리와 상호운용성 지원을 위한 메타데이터</t>
        </is>
      </c>
      <c r="D6" s="84" t="n"/>
      <c r="E6" s="10" t="inlineStr">
        <is>
          <t>제정일</t>
        </is>
      </c>
      <c r="F6" s="85" t="inlineStr">
        <is>
          <t>2025.12.05</t>
        </is>
      </c>
    </row>
    <row r="7" ht="15" customHeight="1" s="60">
      <c r="B7" s="10" t="inlineStr">
        <is>
          <t>소관 PG</t>
        </is>
      </c>
      <c r="C7" s="85" t="inlineStr">
        <is>
          <t>PG606</t>
        </is>
      </c>
      <c r="D7" s="84" t="n"/>
      <c r="E7" s="10" t="inlineStr">
        <is>
          <t>최근 개정일</t>
        </is>
      </c>
      <c r="F7" s="85" t="inlineStr">
        <is>
          <t>-</t>
        </is>
      </c>
    </row>
    <row r="8" ht="15" customHeight="1" s="60">
      <c r="B8" s="10" t="inlineStr">
        <is>
          <t>도메인 분류</t>
        </is>
      </c>
      <c r="C8" s="83" t="inlineStr">
        <is>
          <t>AI 학습데이터 / 메타데이터(RDF)</t>
        </is>
      </c>
      <c r="D8" s="84" t="n"/>
      <c r="E8" s="10" t="inlineStr">
        <is>
          <t>분석 담당자</t>
        </is>
      </c>
      <c r="F8" s="85" t="inlineStr">
        <is>
          <t>(샘플)</t>
        </is>
      </c>
    </row>
    <row r="10" ht="16.5" customHeight="1" s="60">
      <c r="B10" s="82" t="inlineStr">
        <is>
          <t>■ A축 — 품질·정합성 결함 점검</t>
        </is>
      </c>
      <c r="C10" s="62" t="n"/>
      <c r="D10" s="62" t="n"/>
      <c r="E10" s="62" t="n"/>
      <c r="F10" s="62" t="n"/>
    </row>
    <row r="11" ht="15" customHeight="1" s="60">
      <c r="B11" s="4" t="inlineStr">
        <is>
          <t>결함 유형</t>
        </is>
      </c>
      <c r="C11" s="2" t="inlineStr">
        <is>
          <t>발견</t>
        </is>
      </c>
      <c r="D11" s="71" t="inlineStr">
        <is>
          <t>구체 사례</t>
        </is>
      </c>
      <c r="E11" s="62" t="n"/>
      <c r="F11" s="2" t="inlineStr">
        <is>
          <t>자동검사</t>
        </is>
      </c>
    </row>
    <row r="12" ht="57.75" customHeight="1" s="60">
      <c r="B12" s="3" t="inlineStr">
        <is>
          <t>데이터 타입 정의 오류</t>
        </is>
      </c>
      <c r="C12" s="13" t="inlineStr">
        <is>
          <t>N</t>
        </is>
      </c>
      <c r="D12" s="75" t="inlineStr">
        <is>
          <t>범위(range) 열에 xsd:dateTime(releaseDate)·xsd:anyURI(license)·xsd:integer·xsd:boolean(tunable)·rdfs:Literal 등 타입이 명시되어 있고, 검토 범위에서 타입 정의 오류는 발견되지 않음.</t>
        </is>
      </c>
      <c r="E12" s="62" t="n"/>
      <c r="F12" s="14" t="inlineStr">
        <is>
          <t>—</t>
        </is>
      </c>
    </row>
    <row r="13" ht="57.75" customHeight="1" s="60">
      <c r="B13" s="3" t="inlineStr">
        <is>
          <t>단위 표기 모호성</t>
        </is>
      </c>
      <c r="C13" s="13" t="inlineStr">
        <is>
          <t>Y</t>
        </is>
      </c>
      <c r="D13" s="75" t="inlineStr">
        <is>
          <t>표 6-5 Parameter의 unit이 koai/rdfs:Literal 자유 텍스트로 정의되고 본문 예시가 ‘%, sec, tokens’. 비표준 문자열 단위라 기계 환산·정규화 불가.</t>
        </is>
      </c>
      <c r="E13" s="62" t="n"/>
      <c r="F13" s="14" t="inlineStr">
        <is>
          <t>예</t>
        </is>
      </c>
    </row>
    <row r="14" ht="57.75" customHeight="1" s="60">
      <c r="B14" s="3" t="inlineStr">
        <is>
          <t>인용/준용표준 분류 오류</t>
        </is>
      </c>
      <c r="C14" s="13" t="inlineStr">
        <is>
          <t>Y</t>
        </is>
      </c>
      <c r="D14" s="75" t="inlineStr">
        <is>
          <t>서문 3절·본문 2절 ‘인용표준 해당없음’이나 클래스·속성을 dct·dcat·skos·schema·xsd 접두어로 규범 사용(예: dcat:Dataset, skos:Concept, schema:softwareVersion, xsd:dateTime).</t>
        </is>
      </c>
      <c r="E14" s="62" t="n"/>
      <c r="F14" s="14" t="inlineStr">
        <is>
          <t>부분</t>
        </is>
      </c>
    </row>
    <row r="15" ht="57.75" customHeight="1" s="60">
      <c r="B15" s="3" t="inlineStr">
        <is>
          <t>코드/enum 정의 오류</t>
        </is>
      </c>
      <c r="C15" s="13" t="inlineStr">
        <is>
          <t>N/A</t>
        </is>
      </c>
      <c r="D15" s="75" t="inlineStr">
        <is>
          <t>값을 IRI·리터럴로 표현하는 온톨로지 스키마로, 1530식 코드표(0x0B 등) 정의가 없어 해당 유형 결함 자체가 성립하지 않음.</t>
        </is>
      </c>
      <c r="E15" s="62" t="n"/>
      <c r="F15" s="14" t="inlineStr">
        <is>
          <t>—</t>
        </is>
      </c>
    </row>
    <row r="16" ht="57.75" customHeight="1" s="60">
      <c r="B16" s="3" t="inlineStr">
        <is>
          <t>오타·표기 불일치</t>
        </is>
      </c>
      <c r="C16" s="13" t="inlineStr">
        <is>
          <t>Y</t>
        </is>
      </c>
      <c r="D16" s="75" t="inlineStr">
        <is>
          <t>6.1절 ‘…이해를 도울 수 있이다’의 ‘있이다’ 오타. 또한 표 5-1 범례는 R=‘권장(Recommended)’·O=‘선택(Optional)’으로 정의하나 6.2.1 본문은 R 속성(library·modelDescription 등)을 ‘선택적(R)’으로 표기해 권장/선택 혼동.</t>
        </is>
      </c>
      <c r="E16" s="62" t="n"/>
      <c r="F16" s="14" t="inlineStr">
        <is>
          <t>부분</t>
        </is>
      </c>
    </row>
    <row r="17" ht="57.75" customHeight="1" s="60">
      <c r="B17" s="3" t="inlineStr">
        <is>
          <t>내부 일관성</t>
        </is>
      </c>
      <c r="C17" s="13" t="inlineStr">
        <is>
          <t>Y</t>
        </is>
      </c>
      <c r="D17" s="75" t="inlineStr">
        <is>
          <t>6.1절이 ‘합니다체’(…필수적입니다/…할 수 있게 합니다)와 ‘한다체’를 혼용.</t>
        </is>
      </c>
      <c r="E17" s="62" t="n"/>
      <c r="F17" s="14" t="inlineStr">
        <is>
          <t>부분</t>
        </is>
      </c>
    </row>
    <row r="18" ht="57.75" customHeight="1" s="60">
      <c r="B18" s="3" t="inlineStr">
        <is>
          <t>기타</t>
        </is>
      </c>
      <c r="C18" s="13" t="inlineStr">
        <is>
          <t>N</t>
        </is>
      </c>
      <c r="D18" s="75" t="inlineStr">
        <is>
          <t>위 분류 외 추가 결함은 발견되지 않음.</t>
        </is>
      </c>
      <c r="E18" s="62" t="n"/>
      <c r="F18" s="14" t="inlineStr">
        <is>
          <t>—</t>
        </is>
      </c>
    </row>
    <row r="19" ht="15" customHeight="1" s="60">
      <c r="B19" s="15" t="inlineStr">
        <is>
          <t>결함 발견 수 (Y)</t>
        </is>
      </c>
      <c r="C19" s="86">
        <f>COUNTIF(C12:C18,"Y")</f>
        <v/>
      </c>
      <c r="D19" s="62" t="n"/>
      <c r="E19" s="62" t="n"/>
      <c r="F19" s="62" t="n"/>
    </row>
    <row r="21" ht="16.5" customHeight="1" s="60">
      <c r="B21" s="82" t="inlineStr">
        <is>
          <t>■ B축 — AI-Ready 7개 구성요소 성숙도</t>
        </is>
      </c>
      <c r="C21" s="62" t="n"/>
      <c r="D21" s="62" t="n"/>
      <c r="E21" s="62" t="n"/>
      <c r="F21" s="62" t="n"/>
    </row>
    <row r="22" ht="15" customHeight="1" s="60">
      <c r="B22" s="4" t="inlineStr">
        <is>
          <t>구성요소</t>
        </is>
      </c>
      <c r="C22" s="2" t="inlineStr">
        <is>
          <t>등급(0/1/2)</t>
        </is>
      </c>
      <c r="D22" s="4" t="inlineStr">
        <is>
          <t>근거</t>
        </is>
      </c>
      <c r="E22" s="71" t="inlineStr">
        <is>
          <t>충족 위한 매핑 대상</t>
        </is>
      </c>
      <c r="F22" s="62" t="n"/>
    </row>
    <row r="23" ht="61.5" customHeight="1" s="60">
      <c r="B23" s="3" t="inlineStr">
        <is>
          <t>시맨틱</t>
        </is>
      </c>
      <c r="C23" s="42" t="n">
        <v>2</v>
      </c>
      <c r="D23" s="17" t="inlineStr">
        <is>
          <t>koai 클래스 의미와 상속(rdfs:subClassOf)·구성 관계를 dct·dcat·skos IRI로 바인딩.</t>
        </is>
      </c>
      <c r="E23" s="74" t="inlineStr">
        <is>
          <t>(충족) Croissant 동등어 매핑</t>
        </is>
      </c>
      <c r="F23" s="62" t="n"/>
    </row>
    <row r="24" ht="61.5" customHeight="1" s="60">
      <c r="B24" s="3" t="inlineStr">
        <is>
          <t>데이터 모델</t>
        </is>
      </c>
      <c r="C24" s="42" t="n">
        <v>2</v>
      </c>
      <c r="D24" s="17" t="inlineStr">
        <is>
          <t>속성 레인지를 xsd:anyURI·dateTime·integer·boolean으로 형식 정의(RDF), 필수여부(M/O/R).</t>
        </is>
      </c>
      <c r="E24" s="74" t="inlineStr">
        <is>
          <t>SHACL로 카디널리티 강제(향후)</t>
        </is>
      </c>
      <c r="F24" s="62" t="n"/>
    </row>
    <row r="25" ht="61.5" customHeight="1" s="60">
      <c r="B25" s="3" t="inlineStr">
        <is>
          <t>신태틱</t>
        </is>
      </c>
      <c r="C25" s="18" t="n">
        <v>1</v>
      </c>
      <c r="D25" s="19" t="inlineStr">
        <is>
          <t>부록 Ⅰ에 어휘의 RDF 표현이 제공되나 JSON-LD @context 등 직렬화 규범이 명시적이지 않음.</t>
        </is>
      </c>
      <c r="E25" s="74" t="inlineStr">
        <is>
          <t>JSON-LD @context, Croissant</t>
        </is>
      </c>
      <c r="F25" s="62" t="n"/>
    </row>
    <row r="26" ht="61.5" customHeight="1" s="60">
      <c r="B26" s="3" t="inlineStr">
        <is>
          <t>운영 시맨틱</t>
        </is>
      </c>
      <c r="C26" s="18" t="n">
        <v>1</v>
      </c>
      <c r="D26" s="19" t="inlineStr">
        <is>
          <t>Dataset→Training/Validation/TestSet(split 구조)는 있으나 feature/label 역할·Croissant 미형식.</t>
        </is>
      </c>
      <c r="E26" s="74" t="inlineStr">
        <is>
          <t>Croissant ML 계층(역할 선언)</t>
        </is>
      </c>
      <c r="F26" s="62" t="n"/>
    </row>
    <row r="27" ht="61.5" customHeight="1" s="60">
      <c r="B27" s="3" t="inlineStr">
        <is>
          <t>출처/계보</t>
        </is>
      </c>
      <c r="C27" s="42" t="n">
        <v>2</v>
      </c>
      <c r="D27" s="17" t="inlineStr">
        <is>
          <t>ModelDerivation으로 원본–파생 계보를 명시(derivativeMethod=Finetune/Distill/Merge·derivativeDate)하고 dct:created·modified 보유.</t>
        </is>
      </c>
      <c r="E27" s="74" t="inlineStr">
        <is>
          <t>PROV-O 정렬(prov:wasDerivedFrom)</t>
        </is>
      </c>
      <c r="F27" s="62" t="n"/>
    </row>
    <row r="28" ht="61.5" customHeight="1" s="60">
      <c r="B28" s="3" t="inlineStr">
        <is>
          <t>품질 프로파일</t>
        </is>
      </c>
      <c r="C28" s="18" t="n">
        <v>1</v>
      </c>
      <c r="D28" s="17" t="inlineStr">
        <is>
          <t>Metric 클래스(F1·BLEU·Accuracy)는 모델 ‘성능 평가지표’이고 EthicalConsideration이 있으나, 데이터세트 자체 품질(정확도·결측·대표성) 형식 어휘 부재.</t>
        </is>
      </c>
      <c r="E28" s="74" t="inlineStr">
        <is>
          <t>DQV</t>
        </is>
      </c>
      <c r="F28" s="62" t="n"/>
    </row>
    <row r="29" ht="61.5" customHeight="1" s="60">
      <c r="B29" s="3" t="inlineStr">
        <is>
          <t>접근/사용 제약</t>
        </is>
      </c>
      <c r="C29" s="42" t="n">
        <v>2</v>
      </c>
      <c r="D29" s="19" t="inlineStr">
        <is>
          <t>license(dct:license/anyURI, M)에 더해 AccessService 클래스가 public/gated/private 접근 정책을 dcat:accessService로 구조화 — 데이터 수준 접근 메타데이터 충족.</t>
        </is>
      </c>
      <c r="E29" s="74" t="inlineStr">
        <is>
          <t>ODRL로 이용 정책 정교화(향후)</t>
        </is>
      </c>
      <c r="F29" s="62" t="n"/>
    </row>
    <row r="30" ht="15" customHeight="1" s="60">
      <c r="B30" s="15" t="inlineStr">
        <is>
          <t>성숙도 점수</t>
        </is>
      </c>
      <c r="C30" s="81">
        <f>IF(COUNT(C23:C29)=0,"",SUM(C23:C29)/(COUNT(C23:C29)*2))</f>
        <v/>
      </c>
      <c r="D30" s="62" t="n"/>
      <c r="E30" s="62" t="n"/>
      <c r="F30" s="62" t="n"/>
    </row>
    <row r="32" ht="16.5" customHeight="1" s="60">
      <c r="B32" s="76" t="inlineStr">
        <is>
          <t>■ 종합 — 가장 시급한 개선 1~2개</t>
        </is>
      </c>
      <c r="C32" s="62" t="n"/>
      <c r="D32" s="62" t="n"/>
      <c r="E32" s="62" t="n"/>
      <c r="F32" s="62" t="n"/>
    </row>
    <row r="33" ht="21.75" customHeight="1" s="60">
      <c r="B33" s="78" t="inlineStr">
        <is>
          <t>1) 운영 시맨틱 — Parameter.unit을 QUDT/UCUM 표준 식별자로 결합
2) 품질 — 데이터세트 품질을 DQV로 별도 표현</t>
        </is>
      </c>
      <c r="C33" s="79" t="n"/>
      <c r="D33" s="79" t="n"/>
      <c r="E33" s="79" t="n"/>
      <c r="F33" s="79" t="n"/>
    </row>
    <row r="34" ht="21.75" customHeight="1" s="60">
      <c r="B34" s="8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dataValidations count="3">
    <dataValidation sqref="C12:C18" showDropDown="0" showInputMessage="0" showErrorMessage="0" allowBlank="1" type="list">
      <formula1>"Y,N,N/A"</formula1>
      <formula2>0</formula2>
    </dataValidation>
    <dataValidation sqref="F12:F18" showDropDown="0" showInputMessage="0" showErrorMessage="0" allowBlank="1" type="list">
      <formula1>"예,부분,아니오,—"</formula1>
      <formula2>0</formula2>
    </dataValidation>
    <dataValidation sqref="C23:C29" showDropDown="0" showInputMessage="0" showErrorMessage="0" allowBlank="1" type="list">
      <formula1>"0,1,2"</formula1>
      <formula2>0</formula2>
    </dataValidation>
  </dataValidations>
  <pageMargins left="0.3" right="0.3" top="0.4" bottom="0.4" header="0.511811023622047" footer="0.511811023622047"/>
  <pageSetup orientation="landscape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zoomScaleNormal="100" workbookViewId="0">
      <selection activeCell="A1" sqref="A1"/>
    </sheetView>
  </sheetViews>
  <sheetFormatPr baseColWidth="8" defaultColWidth="8.6328125" defaultRowHeight="14.5"/>
  <cols>
    <col width="3" customWidth="1" style="60" min="1" max="1"/>
    <col width="20" customWidth="1" style="60" min="2" max="2"/>
    <col width="11" customWidth="1" style="60" min="3" max="3"/>
    <col width="24" customWidth="1" style="60" min="4" max="4"/>
    <col width="18" customWidth="1" style="60" min="5" max="5"/>
    <col width="16" customWidth="1" style="60" min="6" max="6"/>
    <col width="3" customWidth="1" style="60" min="7" max="7"/>
  </cols>
  <sheetData>
    <row r="2" ht="24" customHeight="1" s="60">
      <c r="B2" s="77" t="inlineStr">
        <is>
          <t>AI-Ready 표준 분석 카드</t>
        </is>
      </c>
    </row>
    <row r="4" ht="15" customHeight="1" s="60">
      <c r="B4" s="76" t="inlineStr">
        <is>
          <t>■ 식별 정보</t>
        </is>
      </c>
      <c r="C4" s="62" t="n"/>
      <c r="D4" s="62" t="n"/>
      <c r="E4" s="62" t="n"/>
      <c r="F4" s="62" t="n"/>
    </row>
    <row r="5" ht="15" customHeight="1" s="60">
      <c r="B5" s="10" t="inlineStr">
        <is>
          <t>표준번호</t>
        </is>
      </c>
      <c r="C5" s="85" t="inlineStr">
        <is>
          <t>TTAK.KO-10.0976</t>
        </is>
      </c>
      <c r="D5" s="84" t="n"/>
      <c r="E5" s="10" t="inlineStr">
        <is>
          <t>판수</t>
        </is>
      </c>
      <c r="F5" s="83" t="inlineStr">
        <is>
          <t>제1판</t>
        </is>
      </c>
    </row>
    <row r="6" ht="29.25" customHeight="1" s="60">
      <c r="B6" s="10" t="inlineStr">
        <is>
          <t>표준명</t>
        </is>
      </c>
      <c r="C6" s="83" t="inlineStr">
        <is>
          <t>연구데이터 관리 및 공유를 위한 메타데이터</t>
        </is>
      </c>
      <c r="D6" s="84" t="n"/>
      <c r="E6" s="10" t="inlineStr">
        <is>
          <t>제정일</t>
        </is>
      </c>
      <c r="F6" s="85" t="inlineStr">
        <is>
          <t>2017.03.30</t>
        </is>
      </c>
    </row>
    <row r="7" ht="15" customHeight="1" s="60">
      <c r="B7" s="10" t="inlineStr">
        <is>
          <t>소관 PG</t>
        </is>
      </c>
      <c r="C7" s="85" t="inlineStr">
        <is>
          <t>PG606</t>
        </is>
      </c>
      <c r="D7" s="84" t="n"/>
      <c r="E7" s="10" t="inlineStr">
        <is>
          <t>최근 개정일</t>
        </is>
      </c>
      <c r="F7" s="85" t="inlineStr">
        <is>
          <t>-</t>
        </is>
      </c>
    </row>
    <row r="8" ht="15" customHeight="1" s="60">
      <c r="B8" s="10" t="inlineStr">
        <is>
          <t>도메인 분류</t>
        </is>
      </c>
      <c r="C8" s="83" t="inlineStr">
        <is>
          <t>연구데이터 / 메타데이터(Dublin Core)</t>
        </is>
      </c>
      <c r="D8" s="84" t="n"/>
      <c r="E8" s="10" t="inlineStr">
        <is>
          <t>분석 담당자</t>
        </is>
      </c>
      <c r="F8" s="85" t="inlineStr">
        <is>
          <t>(샘플)</t>
        </is>
      </c>
    </row>
    <row r="10" ht="16.5" customHeight="1" s="60">
      <c r="B10" s="82" t="inlineStr">
        <is>
          <t>■ A축 — 품질·정합성 결함 점검</t>
        </is>
      </c>
      <c r="C10" s="62" t="n"/>
      <c r="D10" s="62" t="n"/>
      <c r="E10" s="62" t="n"/>
      <c r="F10" s="62" t="n"/>
    </row>
    <row r="11" ht="15" customHeight="1" s="60">
      <c r="B11" s="4" t="inlineStr">
        <is>
          <t>결함 유형</t>
        </is>
      </c>
      <c r="C11" s="2" t="inlineStr">
        <is>
          <t>발견</t>
        </is>
      </c>
      <c r="D11" s="71" t="inlineStr">
        <is>
          <t>구체 사례</t>
        </is>
      </c>
      <c r="E11" s="62" t="n"/>
      <c r="F11" s="2" t="inlineStr">
        <is>
          <t>자동검사</t>
        </is>
      </c>
    </row>
    <row r="12" ht="57.75" customHeight="1" s="60">
      <c r="B12" s="3" t="inlineStr">
        <is>
          <t>데이터 타입 정의 오류</t>
        </is>
      </c>
      <c r="C12" s="13" t="inlineStr">
        <is>
          <t>N/A</t>
        </is>
      </c>
      <c r="D12" s="75" t="inlineStr">
        <is>
          <t>요소 유형이 Property·Class·CVP·SEP로 정의되는 서지·기술 메타데이터로, XML Schema 수치형 타입(비트폭·범위) 정의가 없어 해당 유형 결함이 성립하지 않음.</t>
        </is>
      </c>
      <c r="E12" s="62" t="n"/>
      <c r="F12" s="14" t="inlineStr">
        <is>
          <t>—</t>
        </is>
      </c>
    </row>
    <row r="13" ht="57.75" customHeight="1" s="60">
      <c r="B13" s="3" t="inlineStr">
        <is>
          <t>단위 표기 모호성</t>
        </is>
      </c>
      <c r="C13" s="13" t="inlineStr">
        <is>
          <t>N/A</t>
        </is>
      </c>
      <c r="D13" s="75" t="inlineStr">
        <is>
          <t>측정값·물리 단위를 다루지 않는 기술 메타데이터(Title·Creator·Date 등)로 단위 표기 대상이 없음.</t>
        </is>
      </c>
      <c r="E13" s="62" t="n"/>
      <c r="F13" s="14" t="inlineStr">
        <is>
          <t>—</t>
        </is>
      </c>
    </row>
    <row r="14" ht="57.75" customHeight="1" s="60">
      <c r="B14" s="3" t="inlineStr">
        <is>
          <t>인용/준용표준 분류 오류</t>
        </is>
      </c>
      <c r="C14" s="13" t="inlineStr">
        <is>
          <t>Y</t>
        </is>
      </c>
      <c r="D14" s="75" t="inlineStr">
        <is>
          <t>서문 3절·본문 2절 ‘인용표준 해당사항 없음’이나, 5.1 작성원칙이 ‘참조 표준에 정의된 요소명·권고 값을 준용함을 원칙’으로 한다고 명시하고 전 요소가 DCMI(purl.org/dc/elements/1.1)·DataCite·re3data·ISO 8601[W3CDTF]을 ‘관련 출처’로 규범 참조(예: Date→ISO 8601 YYYY-MM-DD, IdentifierType→DataCite).</t>
        </is>
      </c>
      <c r="E14" s="62" t="n"/>
      <c r="F14" s="14" t="inlineStr">
        <is>
          <t>부분</t>
        </is>
      </c>
    </row>
    <row r="15" ht="57.75" customHeight="1" s="60">
      <c r="B15" s="3" t="inlineStr">
        <is>
          <t>코드/enum 정의 오류</t>
        </is>
      </c>
      <c r="C15" s="13" t="inlineStr">
        <is>
          <t>N</t>
        </is>
      </c>
      <c r="D15" s="75" t="inlineStr">
        <is>
          <t>통제어(CVP)·부록 Ⅱ-1 통제어로 TitleType·DateType·IdentifierType 등 값 목록을 정의하며, 검토 범위에서 통제어 정의 오류는 발견되지 않음.</t>
        </is>
      </c>
      <c r="E15" s="62" t="n"/>
      <c r="F15" s="14" t="inlineStr">
        <is>
          <t>—</t>
        </is>
      </c>
    </row>
    <row r="16" ht="57.75" customHeight="1" s="60">
      <c r="B16" s="3" t="inlineStr">
        <is>
          <t>오타·표기 불일치</t>
        </is>
      </c>
      <c r="C16" s="13" t="inlineStr">
        <is>
          <t>N</t>
        </is>
      </c>
      <c r="D16" s="75" t="inlineStr">
        <is>
          <t>검토 범위에서 오탈자는 발견되지 않음.</t>
        </is>
      </c>
      <c r="E16" s="62" t="n"/>
      <c r="F16" s="14" t="inlineStr">
        <is>
          <t>—</t>
        </is>
      </c>
    </row>
    <row r="17" ht="57.75" customHeight="1" s="60">
      <c r="B17" s="3" t="inlineStr">
        <is>
          <t>내부 일관성</t>
        </is>
      </c>
      <c r="C17" s="13" t="inlineStr">
        <is>
          <t>Y</t>
        </is>
      </c>
      <c r="D17" s="75" t="inlineStr">
        <is>
          <t>4장 약어에 SEP·CVP만 정의되나 5.3 표기원칙·요소 정의에서 요소 유형으로 SES·CV 등을 사용 — 약어 정리 불일치.</t>
        </is>
      </c>
      <c r="E17" s="62" t="n"/>
      <c r="F17" s="14" t="inlineStr">
        <is>
          <t>부분</t>
        </is>
      </c>
    </row>
    <row r="18" ht="57.75" customHeight="1" s="60">
      <c r="B18" s="3" t="inlineStr">
        <is>
          <t>기타</t>
        </is>
      </c>
      <c r="C18" s="13" t="inlineStr">
        <is>
          <t>N</t>
        </is>
      </c>
      <c r="D18" s="75" t="inlineStr">
        <is>
          <t>위 분류 외 추가 결함은 발견되지 않음.</t>
        </is>
      </c>
      <c r="E18" s="62" t="n"/>
      <c r="F18" s="14" t="inlineStr">
        <is>
          <t>—</t>
        </is>
      </c>
    </row>
    <row r="19" ht="15" customHeight="1" s="60">
      <c r="B19" s="15" t="inlineStr">
        <is>
          <t>결함 발견 수 (Y)</t>
        </is>
      </c>
      <c r="C19" s="86">
        <f>COUNTIF(C12:C18,"Y")</f>
        <v/>
      </c>
      <c r="D19" s="62" t="n"/>
      <c r="E19" s="62" t="n"/>
      <c r="F19" s="62" t="n"/>
    </row>
    <row r="21" ht="16.5" customHeight="1" s="60">
      <c r="B21" s="82" t="inlineStr">
        <is>
          <t>■ B축 — AI-Ready 7개 구성요소 성숙도</t>
        </is>
      </c>
      <c r="C21" s="62" t="n"/>
      <c r="D21" s="62" t="n"/>
      <c r="E21" s="62" t="n"/>
      <c r="F21" s="62" t="n"/>
    </row>
    <row r="22" ht="15" customHeight="1" s="60">
      <c r="B22" s="4" t="inlineStr">
        <is>
          <t>구성요소</t>
        </is>
      </c>
      <c r="C22" s="2" t="inlineStr">
        <is>
          <t>등급(0/1/2)</t>
        </is>
      </c>
      <c r="D22" s="4" t="inlineStr">
        <is>
          <t>근거</t>
        </is>
      </c>
      <c r="E22" s="71" t="inlineStr">
        <is>
          <t>충족 위한 매핑 대상</t>
        </is>
      </c>
      <c r="F22" s="62" t="n"/>
    </row>
    <row r="23" ht="61.5" customHeight="1" s="60">
      <c r="B23" s="3" t="inlineStr">
        <is>
          <t>시맨틱</t>
        </is>
      </c>
      <c r="C23" s="18" t="n">
        <v>1</v>
      </c>
      <c r="D23" s="19" t="inlineStr">
        <is>
          <t>컬렉션–데이터셋–파일–리포지터리 4계층(포함)과 요소 의미를 DCMI·DataCite로 일부 연결, IRI 미바인딩.</t>
        </is>
      </c>
      <c r="E23" s="74" t="inlineStr">
        <is>
          <t>DCMI/DataCite IRI; dct:hasPart</t>
        </is>
      </c>
      <c r="F23" s="62" t="n"/>
    </row>
    <row r="24" ht="61.5" customHeight="1" s="60">
      <c r="B24" s="3" t="inlineStr">
        <is>
          <t>데이터 모델</t>
        </is>
      </c>
      <c r="C24" s="18" t="n">
        <v>1</v>
      </c>
      <c r="D24" s="19" t="inlineStr">
        <is>
          <t>요소 유형(Property·Class·CVP·SEP)·필수여부를 표로 정리, 값 타입 검증 스키마 미제공.</t>
        </is>
      </c>
      <c r="E24" s="74" t="inlineStr">
        <is>
          <t>SHACL/XSD로 형식화</t>
        </is>
      </c>
      <c r="F24" s="62" t="n"/>
    </row>
    <row r="25" ht="61.5" customHeight="1" s="60">
      <c r="B25" s="3" t="inlineStr">
        <is>
          <t>신태틱</t>
        </is>
      </c>
      <c r="C25" s="18" t="n">
        <v>1</v>
      </c>
      <c r="D25" s="19" t="inlineStr">
        <is>
          <t>XML·JSON 예시(Subject 등)는 제공되나 직렬화 규범·JSON-LD 부재.</t>
        </is>
      </c>
      <c r="E25" s="74" t="inlineStr">
        <is>
          <t>JSON-LD @context, RDF/Turtle</t>
        </is>
      </c>
      <c r="F25" s="62" t="n"/>
    </row>
    <row r="26" ht="61.5" customHeight="1" s="60">
      <c r="B26" s="3" t="inlineStr">
        <is>
          <t>운영 시맨틱</t>
        </is>
      </c>
      <c r="C26" s="18" t="inlineStr">
        <is>
          <t>N/A</t>
        </is>
      </c>
      <c r="D26" s="19" t="inlineStr">
        <is>
          <t>연구데이터 기술 메타데이터 — ML 사용 정의 비대상(비해당).</t>
        </is>
      </c>
      <c r="E26" s="74" t="inlineStr">
        <is>
          <t>—</t>
        </is>
      </c>
      <c r="F26" s="62" t="n"/>
    </row>
    <row r="27" ht="61.5" customHeight="1" s="60">
      <c r="B27" s="3" t="inlineStr">
        <is>
          <t>출처/계보</t>
        </is>
      </c>
      <c r="C27" s="18" t="n">
        <v>1</v>
      </c>
      <c r="D27" s="17" t="inlineStr">
        <is>
          <t>Date·DateType·Publisher·PublicationYear 등 출처성 필드가 있으나 생성·가공 계보로 엮이지 않음.</t>
        </is>
      </c>
      <c r="E27" s="74" t="inlineStr">
        <is>
          <t>PROV-O</t>
        </is>
      </c>
      <c r="F27" s="62" t="n"/>
    </row>
    <row r="28" ht="61.5" customHeight="1" s="60">
      <c r="B28" s="3" t="inlineStr">
        <is>
          <t>품질 프로파일</t>
        </is>
      </c>
      <c r="C28" s="16" t="n">
        <v>0</v>
      </c>
      <c r="D28" s="19" t="inlineStr">
        <is>
          <t>데이터 품질을 기술하는 어휘 부재.</t>
        </is>
      </c>
      <c r="E28" s="74" t="inlineStr">
        <is>
          <t>DQV</t>
        </is>
      </c>
      <c r="F28" s="62" t="n"/>
    </row>
    <row r="29" ht="61.5" customHeight="1" s="60">
      <c r="B29" s="3" t="inlineStr">
        <is>
          <t>접근/사용 제약</t>
        </is>
      </c>
      <c r="C29" s="18" t="n">
        <v>1</v>
      </c>
      <c r="D29" s="19" t="inlineStr">
        <is>
          <t>데이터셋 공개 범위(Embargoed=이용 지연)·식별자(DOI/URI/UCI)가 언급되나 라이선스·접근권이 형식 어휘로 표현되지 않음.</t>
        </is>
      </c>
      <c r="E29" s="74" t="inlineStr">
        <is>
          <t>dct:license/accessRights, ODRL</t>
        </is>
      </c>
      <c r="F29" s="62" t="n"/>
    </row>
    <row r="30" ht="15" customHeight="1" s="60">
      <c r="B30" s="15" t="inlineStr">
        <is>
          <t>성숙도 점수</t>
        </is>
      </c>
      <c r="C30" s="81">
        <f>IF(COUNT(C23:C29)=0,"",SUM(C23:C29)/(COUNT(C23:C29)*2))</f>
        <v/>
      </c>
      <c r="D30" s="62" t="n"/>
      <c r="E30" s="62" t="n"/>
      <c r="F30" s="62" t="n"/>
    </row>
    <row r="32" ht="16.5" customHeight="1" s="60">
      <c r="B32" s="76" t="inlineStr">
        <is>
          <t>■ 종합 — 가장 시급한 개선 1~2개</t>
        </is>
      </c>
      <c r="C32" s="62" t="n"/>
      <c r="D32" s="62" t="n"/>
      <c r="E32" s="62" t="n"/>
      <c r="F32" s="62" t="n"/>
    </row>
    <row r="33" ht="21.75" customHeight="1" s="60">
      <c r="B33" s="78" t="inlineStr">
        <is>
          <t>1) 시맨틱 — 요소를 DCMI/DataCite IRI에 바인딩(JSON-LD @context)
2) 품질 — DQV 품질 차원 추가(유일한 0)</t>
        </is>
      </c>
      <c r="C33" s="79" t="n"/>
      <c r="D33" s="79" t="n"/>
      <c r="E33" s="79" t="n"/>
      <c r="F33" s="79" t="n"/>
    </row>
    <row r="34" ht="21.75" customHeight="1" s="60">
      <c r="B34" s="8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dataValidations count="3">
    <dataValidation sqref="C12:C18" showDropDown="0" showInputMessage="0" showErrorMessage="0" allowBlank="1" type="list">
      <formula1>"Y,N,N/A"</formula1>
      <formula2>0</formula2>
    </dataValidation>
    <dataValidation sqref="F12:F18" showDropDown="0" showInputMessage="0" showErrorMessage="0" allowBlank="1" type="list">
      <formula1>"예,부분,아니오,—"</formula1>
      <formula2>0</formula2>
    </dataValidation>
    <dataValidation sqref="C23:C29" showDropDown="0" showInputMessage="0" showErrorMessage="0" allowBlank="1" type="list">
      <formula1>"0,1,2"</formula1>
      <formula2>0</formula2>
    </dataValidation>
  </dataValidations>
  <pageMargins left="0.3" right="0.3" top="0.4" bottom="0.4" header="0.511811023622047" footer="0.511811023622047"/>
  <pageSetup orientation="landscape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workbookViewId="0">
      <selection activeCell="A1" sqref="A1"/>
    </sheetView>
  </sheetViews>
  <sheetFormatPr baseColWidth="8" defaultColWidth="8.6328125" defaultRowHeight="14.5"/>
  <cols>
    <col width="3" customWidth="1" style="60" min="1" max="1"/>
    <col width="20" customWidth="1" style="60" min="2" max="2"/>
    <col width="11" customWidth="1" style="60" min="3" max="3"/>
    <col width="24" customWidth="1" style="60" min="4" max="4"/>
    <col width="18" customWidth="1" style="60" min="5" max="5"/>
    <col width="16" customWidth="1" style="60" min="6" max="6"/>
    <col width="3" customWidth="1" style="60" min="7" max="7"/>
  </cols>
  <sheetData>
    <row r="2" ht="24" customHeight="1" s="60">
      <c r="B2" s="77" t="inlineStr">
        <is>
          <t>AI-Ready 표준 분석 카드</t>
        </is>
      </c>
    </row>
    <row r="4" ht="15" customHeight="1" s="60">
      <c r="B4" s="76" t="inlineStr">
        <is>
          <t>■ 식별 정보</t>
        </is>
      </c>
      <c r="C4" s="62" t="n"/>
      <c r="D4" s="62" t="n"/>
      <c r="E4" s="62" t="n"/>
      <c r="F4" s="62" t="n"/>
    </row>
    <row r="5" ht="15" customHeight="1" s="60">
      <c r="B5" s="10" t="inlineStr">
        <is>
          <t>표준번호</t>
        </is>
      </c>
      <c r="C5" s="85" t="inlineStr">
        <is>
          <t>TTAK.KO-10.1595</t>
        </is>
      </c>
      <c r="D5" s="84" t="n"/>
      <c r="E5" s="10" t="inlineStr">
        <is>
          <t>판수</t>
        </is>
      </c>
      <c r="F5" s="83" t="inlineStr">
        <is>
          <t>제1판</t>
        </is>
      </c>
    </row>
    <row r="6" ht="29.25" customHeight="1" s="60">
      <c r="B6" s="10" t="inlineStr">
        <is>
          <t>표준명</t>
        </is>
      </c>
      <c r="C6" s="83" t="inlineStr">
        <is>
          <t>인공지능 학습용 데이터 구축 공정 기반의 메타데이터</t>
        </is>
      </c>
      <c r="D6" s="84" t="n"/>
      <c r="E6" s="10" t="inlineStr">
        <is>
          <t>제정일</t>
        </is>
      </c>
      <c r="F6" s="85" t="inlineStr">
        <is>
          <t>2025.12.05</t>
        </is>
      </c>
    </row>
    <row r="7" ht="15" customHeight="1" s="60">
      <c r="B7" s="10" t="inlineStr">
        <is>
          <t>소관 PG</t>
        </is>
      </c>
      <c r="C7" s="85" t="inlineStr">
        <is>
          <t>PG606</t>
        </is>
      </c>
      <c r="D7" s="84" t="n"/>
      <c r="E7" s="10" t="inlineStr">
        <is>
          <t>최근 개정일</t>
        </is>
      </c>
      <c r="F7" s="85" t="inlineStr">
        <is>
          <t>-</t>
        </is>
      </c>
    </row>
    <row r="8" ht="15" customHeight="1" s="60">
      <c r="B8" s="10" t="inlineStr">
        <is>
          <t>도메인 분류</t>
        </is>
      </c>
      <c r="C8" s="83" t="inlineStr">
        <is>
          <t>AI 학습데이터 / 메타데이터(항목 목록형)</t>
        </is>
      </c>
      <c r="D8" s="84" t="n"/>
      <c r="E8" s="10" t="inlineStr">
        <is>
          <t>분석 담당자</t>
        </is>
      </c>
      <c r="F8" s="85" t="inlineStr">
        <is>
          <t>(Tier1)</t>
        </is>
      </c>
    </row>
    <row r="10" ht="16.5" customHeight="1" s="60">
      <c r="B10" s="82" t="inlineStr">
        <is>
          <t>■ A축 — 품질·정합성 결함 점검</t>
        </is>
      </c>
      <c r="C10" s="62" t="n"/>
      <c r="D10" s="62" t="n"/>
      <c r="E10" s="62" t="n"/>
      <c r="F10" s="62" t="n"/>
    </row>
    <row r="11" ht="15" customHeight="1" s="60">
      <c r="B11" s="4" t="inlineStr">
        <is>
          <t>결함 유형</t>
        </is>
      </c>
      <c r="C11" s="2" t="inlineStr">
        <is>
          <t>발견</t>
        </is>
      </c>
      <c r="D11" s="71" t="inlineStr">
        <is>
          <t>구체 사례</t>
        </is>
      </c>
      <c r="E11" s="62" t="n"/>
      <c r="F11" s="2" t="inlineStr">
        <is>
          <t>자동검사</t>
        </is>
      </c>
    </row>
    <row r="12" ht="57.75" customHeight="1" s="60">
      <c r="B12" s="3" t="inlineStr">
        <is>
          <t>데이터 타입 정의 오류</t>
        </is>
      </c>
      <c r="C12" s="13" t="inlineStr">
        <is>
          <t>N/A</t>
        </is>
      </c>
      <c r="D12" s="75" t="inlineStr">
        <is>
          <t>요소가 한·영 명칭·산문 설명·필수여부(M/O/R)로 정의되는 항목 목록형 표준으로, xsd 등 값 타입을 정의하지 않아 1530식 타입 오기가 성립하지 않음.</t>
        </is>
      </c>
      <c r="E12" s="62" t="n"/>
      <c r="F12" s="14" t="inlineStr">
        <is>
          <t>—</t>
        </is>
      </c>
    </row>
    <row r="13" ht="57.75" customHeight="1" s="60">
      <c r="B13" s="3" t="inlineStr">
        <is>
          <t>단위 표기 모호성</t>
        </is>
      </c>
      <c r="C13" s="13" t="inlineStr">
        <is>
          <t>N/A</t>
        </is>
      </c>
      <c r="D13" s="75" t="inlineStr">
        <is>
          <t>물리 측정값·단위를 다루지 않음. 3-7 단위(Unit)는 가공 데이터 수량을 세는 카운팅 단위(예: 파일 단위(건))로 단위 혼재 대상이 아님.</t>
        </is>
      </c>
      <c r="E13" s="62" t="n"/>
      <c r="F13" s="14" t="inlineStr">
        <is>
          <t>—</t>
        </is>
      </c>
    </row>
    <row r="14" ht="57.75" customHeight="1" s="60">
      <c r="B14" s="3" t="inlineStr">
        <is>
          <t>인용/준용표준 분류 오류</t>
        </is>
      </c>
      <c r="C14" s="13" t="inlineStr">
        <is>
          <t>Y</t>
        </is>
      </c>
      <c r="D14" s="75" t="inlineStr">
        <is>
          <t>서문 3절·본문 2절 ‘인용표준 해당없음’이나, 구축 공정 5단계·품질 프레임워크를 NIA 가이드라인(참고문헌 [1][2])을 ‘기반으로’ 하고 용어정의 3.5가 TTAK.KO-10.1339의 정의를 준용.</t>
        </is>
      </c>
      <c r="E14" s="62" t="n"/>
      <c r="F14" s="14" t="inlineStr">
        <is>
          <t>부분</t>
        </is>
      </c>
    </row>
    <row r="15" ht="57.75" customHeight="1" s="60">
      <c r="B15" s="3" t="inlineStr">
        <is>
          <t>코드/enum 정의 오류</t>
        </is>
      </c>
      <c r="C15" s="13" t="inlineStr">
        <is>
          <t>N</t>
        </is>
      </c>
      <c r="D15" s="75" t="inlineStr">
        <is>
          <t>필수여부 M/O/R 외 코드표·열거형 정의가 없고, 그 범례(표 5-2)는 표 6-1~6-9에서 일관되게 사용됨.</t>
        </is>
      </c>
      <c r="E15" s="62" t="n"/>
      <c r="F15" s="14" t="inlineStr">
        <is>
          <t>—</t>
        </is>
      </c>
    </row>
    <row r="16" ht="57.75" customHeight="1" s="60">
      <c r="B16" s="3" t="inlineStr">
        <is>
          <t>오타·표기 불일치</t>
        </is>
      </c>
      <c r="C16" s="13" t="inlineStr">
        <is>
          <t>Y</t>
        </is>
      </c>
      <c r="D16" s="75" t="inlineStr">
        <is>
          <t>1-2 ‘데이터 구분’과 2-2 ‘데이터 유형’의 영문명이 모두 Data Type로 중복. 항목 8 ‘데이터 사용 시 고려사항’ 영문명이 Dataset Construction Considerations(use→construction 오역).</t>
        </is>
      </c>
      <c r="E16" s="62" t="n"/>
      <c r="F16" s="14" t="inlineStr">
        <is>
          <t>부분</t>
        </is>
      </c>
    </row>
    <row r="17" ht="57.75" customHeight="1" s="60">
      <c r="B17" s="3" t="inlineStr">
        <is>
          <t>내부 일관성</t>
        </is>
      </c>
      <c r="C17" s="13" t="inlineStr">
        <is>
          <t>Y</t>
        </is>
      </c>
      <c r="D17" s="75" t="inlineStr">
        <is>
          <t>4장 약어 ‘해당없음’이나 본문·부록에 LLM·LMM·CoT·B-Box·NAS·GPU·CUDA·SGD·ROUGE-L·NIA 등 다수 약어를 정의 없이 사용.</t>
        </is>
      </c>
      <c r="E17" s="62" t="n"/>
      <c r="F17" s="14" t="inlineStr">
        <is>
          <t>예</t>
        </is>
      </c>
    </row>
    <row r="18" ht="57.75" customHeight="1" s="60">
      <c r="B18" s="3" t="inlineStr">
        <is>
          <t>기타</t>
        </is>
      </c>
      <c r="C18" s="13" t="inlineStr">
        <is>
          <t>N</t>
        </is>
      </c>
      <c r="D18" s="75" t="inlineStr">
        <is>
          <t>위 분류 외 추가 결함은 발견되지 않음.</t>
        </is>
      </c>
      <c r="E18" s="62" t="n"/>
      <c r="F18" s="14" t="inlineStr">
        <is>
          <t>—</t>
        </is>
      </c>
    </row>
    <row r="19" ht="15" customHeight="1" s="60">
      <c r="B19" s="15" t="inlineStr">
        <is>
          <t>결함 발견 수 (Y)</t>
        </is>
      </c>
      <c r="C19" s="86">
        <f>COUNTIF(C12:C18,"Y")</f>
        <v/>
      </c>
      <c r="D19" s="62" t="n"/>
      <c r="E19" s="62" t="n"/>
      <c r="F19" s="62" t="n"/>
    </row>
    <row r="21" ht="16.5" customHeight="1" s="60">
      <c r="B21" s="82" t="inlineStr">
        <is>
          <t>■ B축 — AI-Ready 7개 구성요소 성숙도</t>
        </is>
      </c>
      <c r="C21" s="62" t="n"/>
      <c r="D21" s="62" t="n"/>
      <c r="E21" s="62" t="n"/>
      <c r="F21" s="62" t="n"/>
    </row>
    <row r="22" ht="15" customHeight="1" s="60">
      <c r="B22" s="4" t="inlineStr">
        <is>
          <t>구성요소</t>
        </is>
      </c>
      <c r="C22" s="2" t="inlineStr">
        <is>
          <t>등급(0/1/2)</t>
        </is>
      </c>
      <c r="D22" s="4" t="inlineStr">
        <is>
          <t>근거</t>
        </is>
      </c>
      <c r="E22" s="71" t="inlineStr">
        <is>
          <t>충족 위한 매핑 대상</t>
        </is>
      </c>
      <c r="F22" s="62" t="n"/>
    </row>
    <row r="23" ht="61.5" customHeight="1" s="60">
      <c r="B23" s="3" t="inlineStr">
        <is>
          <t>시맨틱</t>
        </is>
      </c>
      <c r="C23" s="18" t="n">
        <v>0</v>
      </c>
      <c r="D23" s="19" t="inlineStr">
        <is>
          <t>9개 항목·세부요소 의미와 구축공정 계층이 한/영 명칭+산문, IRI 전무.</t>
        </is>
      </c>
      <c r="E23" s="74" t="inlineStr">
        <is>
          <t>DCAT·schema.org; skos:broader</t>
        </is>
      </c>
      <c r="F23" s="62" t="n"/>
    </row>
    <row r="24" ht="61.5" customHeight="1" s="60">
      <c r="B24" s="3" t="inlineStr">
        <is>
          <t>데이터 모델</t>
        </is>
      </c>
      <c r="C24" s="18" t="n">
        <v>1</v>
      </c>
      <c r="D24" s="19" t="inlineStr">
        <is>
          <t>요소명·필수여부(M/O/R)는 표로 정리하나 값 데이터 타입·제약 미정의.</t>
        </is>
      </c>
      <c r="E24" s="74" t="inlineStr">
        <is>
          <t>값 타입 정의 + SHACL</t>
        </is>
      </c>
      <c r="F24" s="62" t="n"/>
    </row>
    <row r="25" ht="61.5" customHeight="1" s="60">
      <c r="B25" s="3" t="inlineStr">
        <is>
          <t>신태틱</t>
        </is>
      </c>
      <c r="C25" s="18" t="n">
        <v>0</v>
      </c>
      <c r="D25" s="19" t="inlineStr">
        <is>
          <t>메타데이터 직렬화 규범 부재. 표 5-2는 문서 작성 서식이고 부록 예시는 표·산문. 본문의 JSON·XML은 기술 대상 데이터의 파일 형식.</t>
        </is>
      </c>
      <c r="E25" s="74" t="inlineStr">
        <is>
          <t>JSON-LD @context, Croissant</t>
        </is>
      </c>
      <c r="F25" s="62" t="n"/>
    </row>
    <row r="26" ht="61.5" customHeight="1" s="60">
      <c r="B26" s="3" t="inlineStr">
        <is>
          <t>운영 시맨틱</t>
        </is>
      </c>
      <c r="C26" s="18" t="n">
        <v>1</v>
      </c>
      <c r="D26" s="19" t="inlineStr">
        <is>
          <t>6.6·6-3에 학습/검증/평가 80:10:10 split을 산문·예시로 기술, 역할·형식화 부재.</t>
        </is>
      </c>
      <c r="E26" s="74" t="inlineStr">
        <is>
          <t>Croissant ML 계층</t>
        </is>
      </c>
      <c r="F26" s="62" t="n"/>
    </row>
    <row r="27" ht="61.5" customHeight="1" s="60">
      <c r="B27" s="3" t="inlineStr">
        <is>
          <t>출처/계보</t>
        </is>
      </c>
      <c r="C27" s="18" t="n">
        <v>1</v>
      </c>
      <c r="D27" s="17" t="inlineStr">
        <is>
          <t>데이터 출처(2-4)·구축 절차(6.5 책임자·산출물)·구축년도(7-2)·공정 결과(7-4~6)·버전/변경 이력(9-1·2)으로 계보 내용이 가장 풍부하나 PROV-O 미형식화.</t>
        </is>
      </c>
      <c r="E27" s="74" t="inlineStr">
        <is>
          <t>PROV-O(Activity·wasDerivedFrom·wasAttributedTo)</t>
        </is>
      </c>
      <c r="F27" s="62" t="n"/>
    </row>
    <row r="28" ht="61.5" customHeight="1" s="60">
      <c r="B28" s="3" t="inlineStr">
        <is>
          <t>품질 프로파일</t>
        </is>
      </c>
      <c r="C28" s="16" t="n">
        <v>1</v>
      </c>
      <c r="D28" s="19" t="inlineStr">
        <is>
          <t>정제/가공 기준(5-5·5-6)·모델 평가 성능지표(6-5 ROUGE-L 등)로 품질을 부분 기술하나, 데이터셋 품질 차원(정확도·결측·대표성) 형식 어휘 부재.</t>
        </is>
      </c>
      <c r="E28" s="74" t="inlineStr">
        <is>
          <t>DQV, SHACL</t>
        </is>
      </c>
      <c r="F28" s="62" t="n"/>
    </row>
    <row r="29" ht="61.5" customHeight="1" s="60">
      <c r="B29" s="3" t="inlineStr">
        <is>
          <t>접근/사용 제약</t>
        </is>
      </c>
      <c r="C29" s="18" t="n">
        <v>1</v>
      </c>
      <c r="D29" s="19" t="inlineStr">
        <is>
          <t>데이터 사용 시 고려사항(6.8 개인정보·법제도 준수·권리획득)·제약사항(9)이 산문 수준. dct:license·dcat:accessRights·ODRL 등 데이터 수준 형식 어휘 부재.</t>
        </is>
      </c>
      <c r="E29" s="74" t="inlineStr">
        <is>
          <t>DCAT(dct:license·accessRights), ODRL</t>
        </is>
      </c>
      <c r="F29" s="62" t="n"/>
    </row>
    <row r="30" ht="15" customHeight="1" s="60">
      <c r="B30" s="15" t="inlineStr">
        <is>
          <t>성숙도 점수</t>
        </is>
      </c>
      <c r="C30" s="81">
        <f>IF(COUNT(C23:C29)=0,"",SUM(C23:C29)/(COUNT(C23:C29)*2))</f>
        <v/>
      </c>
      <c r="D30" s="62" t="n"/>
      <c r="E30" s="62" t="n"/>
      <c r="F30" s="62" t="n"/>
    </row>
    <row r="32" ht="16.5" customHeight="1" s="60">
      <c r="B32" s="76" t="inlineStr">
        <is>
          <t>■ 종합 — 가장 시급한 개선 1~2개</t>
        </is>
      </c>
      <c r="C32" s="62" t="n"/>
      <c r="D32" s="62" t="n"/>
      <c r="E32" s="62" t="n"/>
      <c r="F32" s="62" t="n"/>
    </row>
    <row r="33" ht="21.75" customHeight="1" s="60">
      <c r="B33" s="78" t="inlineStr">
        <is>
          <t>1) 출처/계보 — 구축 공정 5단계·산출물·책임자를 PROV-O로 형식화(1595의 최대 강점, PROV 시연 우선 대상)
2) 시맨틱·신태틱 — 9개 항목을 DCAT/schema.org에 매핑 + JSON-LD @context로 직렬화(0→2)</t>
        </is>
      </c>
      <c r="C33" s="79" t="n"/>
      <c r="D33" s="79" t="n"/>
      <c r="E33" s="79" t="n"/>
      <c r="F33" s="79" t="n"/>
    </row>
    <row r="34" ht="21.75" customHeight="1" s="60">
      <c r="B34" s="8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pageMargins left="0.3" right="0.3" top="0.4" bottom="0.4" header="0.511811023622047" footer="0.511811023622047"/>
  <pageSetup orientation="landscape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workbookViewId="0">
      <selection activeCell="A1" sqref="A1"/>
    </sheetView>
  </sheetViews>
  <sheetFormatPr baseColWidth="8" defaultColWidth="8.6328125" defaultRowHeight="14.5"/>
  <cols>
    <col width="3" customWidth="1" style="60" min="1" max="1"/>
    <col width="20" customWidth="1" style="60" min="2" max="2"/>
    <col width="11" customWidth="1" style="60" min="3" max="3"/>
    <col width="24" customWidth="1" style="60" min="4" max="4"/>
    <col width="18" customWidth="1" style="60" min="5" max="5"/>
    <col width="16" customWidth="1" style="60" min="6" max="6"/>
    <col width="3" customWidth="1" style="60" min="7" max="7"/>
  </cols>
  <sheetData>
    <row r="2" ht="24" customHeight="1" s="60">
      <c r="B2" s="77" t="inlineStr">
        <is>
          <t>AI-Ready 표준 분석 카드</t>
        </is>
      </c>
    </row>
    <row r="4" ht="15" customHeight="1" s="60">
      <c r="B4" s="76" t="inlineStr">
        <is>
          <t>■ 식별 정보</t>
        </is>
      </c>
      <c r="C4" s="62" t="n"/>
      <c r="D4" s="62" t="n"/>
      <c r="E4" s="62" t="n"/>
      <c r="F4" s="62" t="n"/>
    </row>
    <row r="5" ht="15" customHeight="1" s="60">
      <c r="B5" s="10" t="inlineStr">
        <is>
          <t>표준번호</t>
        </is>
      </c>
      <c r="C5" s="85" t="inlineStr">
        <is>
          <t>TTAK.KO-10.1533</t>
        </is>
      </c>
      <c r="D5" s="84" t="n"/>
      <c r="E5" s="10" t="inlineStr">
        <is>
          <t>판수</t>
        </is>
      </c>
      <c r="F5" s="83" t="inlineStr">
        <is>
          <t>제1판</t>
        </is>
      </c>
    </row>
    <row r="6" ht="29.25" customHeight="1" s="60">
      <c r="B6" s="10" t="inlineStr">
        <is>
          <t>표준명</t>
        </is>
      </c>
      <c r="C6" s="83" t="inlineStr">
        <is>
          <t>농업 분야 인공지능 학습용 데이터 플랫폼 관리를 위한 메타데이터 스키마</t>
        </is>
      </c>
      <c r="D6" s="84" t="n"/>
      <c r="E6" s="10" t="inlineStr">
        <is>
          <t>제정일</t>
        </is>
      </c>
      <c r="F6" s="85" t="inlineStr">
        <is>
          <t>2024.12.06</t>
        </is>
      </c>
    </row>
    <row r="7" ht="15" customHeight="1" s="60">
      <c r="B7" s="10" t="inlineStr">
        <is>
          <t>소관 PG</t>
        </is>
      </c>
      <c r="C7" s="85" t="inlineStr">
        <is>
          <t>PG606</t>
        </is>
      </c>
      <c r="D7" s="84" t="n"/>
      <c r="E7" s="10" t="inlineStr">
        <is>
          <t>최근 개정일</t>
        </is>
      </c>
      <c r="F7" s="85" t="inlineStr">
        <is>
          <t>-</t>
        </is>
      </c>
    </row>
    <row r="8" ht="15" customHeight="1" s="60">
      <c r="B8" s="10" t="inlineStr">
        <is>
          <t>도메인 분류</t>
        </is>
      </c>
      <c r="C8" s="83" t="inlineStr">
        <is>
          <t>농업 AI 학습데이터 / 메타데이터(스키마형)</t>
        </is>
      </c>
      <c r="D8" s="84" t="n"/>
      <c r="E8" s="10" t="inlineStr">
        <is>
          <t>분석 담당자</t>
        </is>
      </c>
      <c r="F8" s="85" t="inlineStr">
        <is>
          <t>(Tier1)</t>
        </is>
      </c>
    </row>
    <row r="10" ht="16.5" customHeight="1" s="60">
      <c r="B10" s="82" t="inlineStr">
        <is>
          <t>■ A축 — 품질·정합성 결함 점검</t>
        </is>
      </c>
      <c r="C10" s="62" t="n"/>
      <c r="D10" s="62" t="n"/>
      <c r="E10" s="62" t="n"/>
      <c r="F10" s="62" t="n"/>
    </row>
    <row r="11" ht="15" customHeight="1" s="60">
      <c r="B11" s="4" t="inlineStr">
        <is>
          <t>결함 유형</t>
        </is>
      </c>
      <c r="C11" s="2" t="inlineStr">
        <is>
          <t>발견</t>
        </is>
      </c>
      <c r="D11" s="71" t="inlineStr">
        <is>
          <t>구체 사례</t>
        </is>
      </c>
      <c r="E11" s="62" t="n"/>
      <c r="F11" s="2" t="inlineStr">
        <is>
          <t>자동검사</t>
        </is>
      </c>
    </row>
    <row r="12" ht="57.75" customHeight="1" s="60">
      <c r="B12" s="3" t="inlineStr">
        <is>
          <t>데이터 타입 정의 오류</t>
        </is>
      </c>
      <c r="C12" s="13" t="inlineStr">
        <is>
          <t>Y</t>
        </is>
      </c>
      <c r="D12" s="75" t="inlineStr">
        <is>
          <t>6.1.1 &lt;표 6-1&gt; 및 &lt;표 5-2&gt;는 데이터 타입을 RDBMS 타입(VARCHAR/NUMBER/INT/CHAR/BOOLEAN)으로 규정하나, ID 217 엽록소함량(SPAD)과 ID 239 잎(LEF)의 데이터 타입은 STRING으로 표기되어 표준이 정의한 타입 체계에 없는 값을 사용한다. 또한 ID 23 이미지변환저장일자, ID 28 이미지촬영일시 등 날짜·시각 요소를 NUMBER/VARCHAR로 지정해 타입 의미가 값(예시 2023.12.15.)과 불일치한다.</t>
        </is>
      </c>
      <c r="E12" s="62" t="n"/>
      <c r="F12" s="14" t="inlineStr">
        <is>
          <t>부분</t>
        </is>
      </c>
    </row>
    <row r="13" ht="57.75" customHeight="1" s="60">
      <c r="B13" s="3" t="inlineStr">
        <is>
          <t>단위 표기 모호성</t>
        </is>
      </c>
      <c r="C13" s="13" t="inlineStr">
        <is>
          <t>Y</t>
        </is>
      </c>
      <c r="D13" s="75" t="inlineStr">
        <is>
          <t>단위 전용 속성이 없어 측정 단위가 요소 설명·예시 문자열에만 산재한다. ID 287 토양수분값 예시 5-50%, ID 290 토양온도 10℃, ID 293 평균무게 5mg, ID 311 흉위길이 50cm, ID 294 평균헤르츠 10 Hz처럼 단위가 자유 텍스트로만 표기되고 데이터 타입은 모두 NUMBER로 단위 정보가 없어 기계 해석이 불가하다.</t>
        </is>
      </c>
      <c r="E13" s="62" t="n"/>
      <c r="F13" s="14" t="inlineStr">
        <is>
          <t>부분</t>
        </is>
      </c>
    </row>
    <row r="14" ht="57.75" customHeight="1" s="60">
      <c r="B14" s="3" t="inlineStr">
        <is>
          <t>인용/준용표준 분류 오류</t>
        </is>
      </c>
      <c r="C14" s="13" t="inlineStr">
        <is>
          <t>Y</t>
        </is>
      </c>
      <c r="D14" s="75" t="inlineStr">
        <is>
          <t>본문 2 인용 표준과 서문 3 인용 표준과의 비교가 모두 해당 사항 없음으로 표기하나, 5.1·5.2 및 서문 2장은 요소명(컬럼명) 표준화를 범정부 공공데이터베이스 표준화 관리 매뉴얼과 농촌진흥청 표준용어에 준거해 수행했다고 밝히고, 부록 Ⅰ-4 참고문헌 [1]에 NIA 공공데이터베이스 표준화 관리 매뉴얼을 둔다. 표시상수 명명규칙·요소명 어휘를 외부 매뉴얼에 규범적으로 의존하면서 인용표준에 반영하지 않아 분류 오류에 해당한다.</t>
        </is>
      </c>
      <c r="E14" s="62" t="n"/>
      <c r="F14" s="14" t="inlineStr">
        <is>
          <t>부분</t>
        </is>
      </c>
    </row>
    <row r="15" ht="57.75" customHeight="1" s="60">
      <c r="B15" s="3" t="inlineStr">
        <is>
          <t>코드/enum 정의 오류</t>
        </is>
      </c>
      <c r="C15" s="13" t="inlineStr">
        <is>
          <t>Y</t>
        </is>
      </c>
      <c r="D15" s="75" t="inlineStr">
        <is>
          <t>다수 요소가 코드·등급 enum을 전제하나 코드표·허용값 목록이 없다. ID 46 촬영부위코드 예시 (0,1,...,7), ID 176 생육단계코드, ID 248 작물상태코드, ID 266 질병피해정도코드 등은 코드값 정의가 부재하고, ID 301 품질당도등급명 예시 [A,B,C]와 ID 302 품질등급 예시 A,B,C처럼 enum이 예시문에만 들어가 코드 도메인이 규범적으로 고정되지 않는다.</t>
        </is>
      </c>
      <c r="E15" s="62" t="n"/>
      <c r="F15" s="14" t="inlineStr">
        <is>
          <t>부분</t>
        </is>
      </c>
    </row>
    <row r="16" ht="57.75" customHeight="1" s="60">
      <c r="B16" s="3" t="inlineStr">
        <is>
          <t>오타·표기 불일치</t>
        </is>
      </c>
      <c r="C16" s="13" t="inlineStr">
        <is>
          <t>Y</t>
        </is>
      </c>
      <c r="D16" s="75" t="inlineStr">
        <is>
          <t>영문 요소명·표시상수에 오탈자가 다수다. ID 25 Image Encryptopn Value, ID 120 Carcass Weigt, ID 31 표시상수가 표 6-1은 IMG_FILE_TYPE이나 상세는 IMAGE_FILE_TYPE, ID 303 풍속 표시상수가 표 6-1 ARVLTY와 상세 TARVLTY로 불일치, ID 105 FDNG_MTHD_name, ID 118 DATAST_DETaiL처럼 대소문자 혼용, 본문 곳곳 이지미·독판별 등 한글 오타가 있다.</t>
        </is>
      </c>
      <c r="E16" s="62" t="n"/>
      <c r="F16" s="14" t="inlineStr">
        <is>
          <t>부분</t>
        </is>
      </c>
    </row>
    <row r="17" ht="57.75" customHeight="1" s="60">
      <c r="B17" s="3" t="inlineStr">
        <is>
          <t>내부 일관성</t>
        </is>
      </c>
      <c r="C17" s="13" t="inlineStr">
        <is>
          <t>Y</t>
        </is>
      </c>
      <c r="D17" s="75" t="inlineStr">
        <is>
          <t>&lt;표 5-2&gt;는 우선 순위를 M(필수)/R(권고)/O(선택)로, 별도 속성 관련 출처(인용 출처)를 정의하나, 6.1.2 상세 레코드는 우선순위 대신 필수 여부를 Y/N/-/Y 또는 N/Y 또는 N(데이터 세트 참조)로 표기하고 관련 출처 칸 자체를 누락한다. 요소 총수도 불일치한다: 국문 서문 308개(이미지66·어노242), 6.1.1 본문 313개(이미지67·어노247)인데 &lt;표 6-1&gt; 실제 ID는 311까지다.</t>
        </is>
      </c>
      <c r="E17" s="62" t="n"/>
      <c r="F17" s="14" t="inlineStr">
        <is>
          <t>부분</t>
        </is>
      </c>
    </row>
    <row r="18" ht="57.75" customHeight="1" s="60">
      <c r="B18" s="3" t="inlineStr">
        <is>
          <t>기타</t>
        </is>
      </c>
      <c r="C18" s="13" t="inlineStr">
        <is>
          <t>N/A</t>
        </is>
      </c>
      <c r="D18" s="75" t="inlineStr">
        <is>
          <t>위 1~6 분류로 모든 발견 결함을 포섭하므로 별도 기타 유형 결함은 식별되지 않는다.</t>
        </is>
      </c>
      <c r="E18" s="62" t="n"/>
      <c r="F18" s="14" t="inlineStr">
        <is>
          <t>—</t>
        </is>
      </c>
    </row>
    <row r="19" ht="15" customHeight="1" s="60">
      <c r="B19" s="15" t="inlineStr">
        <is>
          <t>결함 발견 수 (Y)</t>
        </is>
      </c>
      <c r="C19" s="86">
        <f>COUNTIF(C12:C18,"Y")</f>
        <v/>
      </c>
      <c r="D19" s="62" t="n"/>
      <c r="E19" s="62" t="n"/>
      <c r="F19" s="62" t="n"/>
    </row>
    <row r="21" ht="16.5" customHeight="1" s="60">
      <c r="B21" s="82" t="inlineStr">
        <is>
          <t>■ B축 — AI-Ready 7개 구성요소 성숙도</t>
        </is>
      </c>
      <c r="C21" s="62" t="n"/>
      <c r="D21" s="62" t="n"/>
      <c r="E21" s="62" t="n"/>
      <c r="F21" s="62" t="n"/>
    </row>
    <row r="22" ht="15" customHeight="1" s="60">
      <c r="B22" s="4" t="inlineStr">
        <is>
          <t>구성요소</t>
        </is>
      </c>
      <c r="C22" s="2" t="inlineStr">
        <is>
          <t>등급(0/1/2)</t>
        </is>
      </c>
      <c r="D22" s="4" t="inlineStr">
        <is>
          <t>근거</t>
        </is>
      </c>
      <c r="E22" s="71" t="inlineStr">
        <is>
          <t>충족 위한 매핑 대상</t>
        </is>
      </c>
      <c r="F22" s="62" t="n"/>
    </row>
    <row r="23" ht="61.5" customHeight="1" s="60">
      <c r="B23" s="3" t="inlineStr">
        <is>
          <t>시맨틱</t>
        </is>
      </c>
      <c r="C23" s="18" t="n">
        <v>0</v>
      </c>
      <c r="D23" s="19" t="inlineStr">
        <is>
          <t>311개 요소 의미·계층(이미지/어노테이션)이 산문·로컬 표시상수, IRI 없음.</t>
        </is>
      </c>
      <c r="E23" s="74" t="inlineStr">
        <is>
          <t>SKOS·schema.org·AGROVOC</t>
        </is>
      </c>
      <c r="F23" s="62" t="n"/>
    </row>
    <row r="24" ht="61.5" customHeight="1" s="60">
      <c r="B24" s="3" t="inlineStr">
        <is>
          <t>데이터 모델</t>
        </is>
      </c>
      <c r="C24" s="18" t="n">
        <v>1</v>
      </c>
      <c r="D24" s="19" t="inlineStr">
        <is>
          <t>RDBMS 타입(VARCHAR/NUMBER/INT)·필수여부를 표로 정의, 검증 스키마 미제공.</t>
        </is>
      </c>
      <c r="E24" s="74" t="inlineStr">
        <is>
          <t>JSON Schema/SHACL</t>
        </is>
      </c>
      <c r="F24" s="62" t="n"/>
    </row>
    <row r="25" ht="61.5" customHeight="1" s="60">
      <c r="B25" s="3" t="inlineStr">
        <is>
          <t>신태틱</t>
        </is>
      </c>
      <c r="C25" s="18" t="n">
        <v>0</v>
      </c>
      <c r="D25" s="19" t="inlineStr">
        <is>
          <t>직렬화 형식 규범이 전혀 없다. 5.3 표기 원칙과 &lt;표 5-2&gt;는 표 표현 규칙만 정하고 JSON/XML/JSON-LD 등 교환 포맷을 언급하지 않으며, 데이터 타입도 VARCHAR/NUMBER 등 DB 구현 타입만 제시한다.</t>
        </is>
      </c>
      <c r="E25" s="74" t="inlineStr">
        <is>
          <t>JSON-LD, Croissant</t>
        </is>
      </c>
      <c r="F25" s="62" t="n"/>
    </row>
    <row r="26" ht="61.5" customHeight="1" s="60">
      <c r="B26" s="3" t="inlineStr">
        <is>
          <t>운영 시맨틱</t>
        </is>
      </c>
      <c r="C26" s="18" t="n">
        <v>0</v>
      </c>
      <c r="D26" s="19" t="inlineStr">
        <is>
          <t>어노테이션(레이블성) 보유하나 ML 역할·split 미선언.</t>
        </is>
      </c>
      <c r="E26" s="74" t="inlineStr">
        <is>
          <t>Croissant ML 계층</t>
        </is>
      </c>
      <c r="F26" s="62" t="n"/>
    </row>
    <row r="27" ht="61.5" customHeight="1" s="60">
      <c r="B27" s="3" t="inlineStr">
        <is>
          <t>출처/계보</t>
        </is>
      </c>
      <c r="C27" s="18" t="n">
        <v>1</v>
      </c>
      <c r="D27" s="17" t="inlineStr">
        <is>
          <t>개별 출처 필드가 일부 존재한다: ID 41 촬영기관, ID 187 수집기관시스템ID, ID 188 수집일자, ID 174 생성일자, ID 214 업데이트일자, ID 97 검수자ID, ID 250 작성자ID. 그러나 &lt;표 5-2&gt;가 정의한 관련 출처 속성은 상세에서 누락되고, PROV-O 등 계보 형식화는 없다.</t>
        </is>
      </c>
      <c r="E27" s="74" t="inlineStr">
        <is>
          <t>PROV-O, DCAT v3</t>
        </is>
      </c>
      <c r="F27" s="62" t="n"/>
    </row>
    <row r="28" ht="61.5" customHeight="1" s="60">
      <c r="B28" s="3" t="inlineStr">
        <is>
          <t>품질 프로파일</t>
        </is>
      </c>
      <c r="C28" s="16" t="n">
        <v>1</v>
      </c>
      <c r="D28" s="19" t="inlineStr">
        <is>
          <t>품질 신호가 등급 enum·검수 필드로 일부 표기된다: ID 300 품질, ID 302 품질등급(예시 A,B,C), ID 301 품질당도등급명, ID 259 정상여부, ID 97 검수자ID, ID 282 클라우드소싱작업여부. 모두 코드·문자열 수준이고 DQV 등 품질 형식화·측정 메트릭은 없다.</t>
        </is>
      </c>
      <c r="E28" s="74" t="inlineStr">
        <is>
          <t>DQV</t>
        </is>
      </c>
      <c r="F28" s="62" t="n"/>
    </row>
    <row r="29" ht="61.5" customHeight="1" s="60">
      <c r="B29" s="3" t="inlineStr">
        <is>
          <t>접근/사용 제약</t>
        </is>
      </c>
      <c r="C29" s="18" t="n">
        <v>1</v>
      </c>
      <c r="D29" s="19" t="inlineStr">
        <is>
          <t>데이터 수준 라이선스 필드가 존재한다: ID 127 라이선스ID, ID 128 라이선스URL, ID 129 라이선스명, ID 27 이미지저작권정보, ID 253 저작권동의여부. 다만 라이선스명의 허용값·권리 표현이 규범화되지 않고 DCAT/ODRL 같은 표준 접근권 모델 매핑은 없어 문서·요소 수준 표기에 머문다.</t>
        </is>
      </c>
      <c r="E29" s="74" t="inlineStr">
        <is>
          <t>DCAT v3, ODRL</t>
        </is>
      </c>
      <c r="F29" s="62" t="n"/>
    </row>
    <row r="30" ht="15" customHeight="1" s="60">
      <c r="B30" s="15" t="inlineStr">
        <is>
          <t>성숙도 점수</t>
        </is>
      </c>
      <c r="C30" s="81">
        <f>IF(COUNT(C23:C29)=0,"",SUM(C23:C29)/(COUNT(C23:C29)*2))</f>
        <v/>
      </c>
      <c r="D30" s="62" t="n"/>
      <c r="E30" s="62" t="n"/>
      <c r="F30" s="62" t="n"/>
    </row>
    <row r="32" ht="16.5" customHeight="1" s="60">
      <c r="B32" s="76" t="inlineStr">
        <is>
          <t>■ 종합 — 가장 시급한 개선 1~2개</t>
        </is>
      </c>
      <c r="C32" s="62" t="n"/>
      <c r="D32" s="62" t="n"/>
      <c r="E32" s="62" t="n"/>
      <c r="F32" s="62" t="n"/>
    </row>
    <row r="33" ht="21.75" customHeight="1" s="60">
      <c r="B33" s="78" t="inlineStr">
        <is>
          <t>1) 인용표준 해당 사항 없음이나 요소명·표시상수가 NIA 공공DB 표준화 매뉴얼에 규범 의존 — 인용표준 명시 및 외부 어휘 IRI 바인딩이 가장 시급하다.
2) &lt;표 5-2&gt;가 정의한 우선순위(M/R/O)·관련 출처 속성이 6.1.2 상세에서 Y/N 및 칸 누락으로 붕괴하고 요소 총수(308/313/311)가 불일치 — 속성 모델 정합화와 단위·코드의 규범적 도메인 정의가 필요하다.</t>
        </is>
      </c>
      <c r="C33" s="79" t="n"/>
      <c r="D33" s="79" t="n"/>
      <c r="E33" s="79" t="n"/>
      <c r="F33" s="79" t="n"/>
    </row>
    <row r="34" ht="21.75" customHeight="1" s="60">
      <c r="B34" s="8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pageMargins left="0.3" right="0.3" top="0.4" bottom="0.4" header="0.511811023622047" footer="0.511811023622047"/>
  <pageSetup orientation="landscape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workbookViewId="0">
      <selection activeCell="A1" sqref="A1"/>
    </sheetView>
  </sheetViews>
  <sheetFormatPr baseColWidth="8" defaultColWidth="8.6328125" defaultRowHeight="14.5"/>
  <cols>
    <col width="3" customWidth="1" style="60" min="1" max="1"/>
    <col width="20" customWidth="1" style="60" min="2" max="2"/>
    <col width="11" customWidth="1" style="60" min="3" max="3"/>
    <col width="24" customWidth="1" style="60" min="4" max="4"/>
    <col width="18" customWidth="1" style="60" min="5" max="5"/>
    <col width="16" customWidth="1" style="60" min="6" max="6"/>
    <col width="3" customWidth="1" style="60" min="7" max="7"/>
  </cols>
  <sheetData>
    <row r="2" ht="24" customHeight="1" s="60">
      <c r="B2" s="77" t="inlineStr">
        <is>
          <t>AI-Ready 표준 분석 카드</t>
        </is>
      </c>
    </row>
    <row r="4" ht="15" customHeight="1" s="60">
      <c r="B4" s="76" t="inlineStr">
        <is>
          <t>■ 식별 정보</t>
        </is>
      </c>
      <c r="C4" s="62" t="n"/>
      <c r="D4" s="62" t="n"/>
      <c r="E4" s="62" t="n"/>
      <c r="F4" s="62" t="n"/>
    </row>
    <row r="5" ht="15" customHeight="1" s="60">
      <c r="B5" s="10" t="inlineStr">
        <is>
          <t>표준번호</t>
        </is>
      </c>
      <c r="C5" s="85" t="inlineStr">
        <is>
          <t>TTAK.KO-10.1571</t>
        </is>
      </c>
      <c r="D5" s="84" t="n"/>
      <c r="E5" s="10" t="inlineStr">
        <is>
          <t>판수</t>
        </is>
      </c>
      <c r="F5" s="83" t="inlineStr">
        <is>
          <t>제1판</t>
        </is>
      </c>
    </row>
    <row r="6" ht="29.25" customHeight="1" s="60">
      <c r="B6" s="10" t="inlineStr">
        <is>
          <t>표준명</t>
        </is>
      </c>
      <c r="C6" s="83" t="inlineStr">
        <is>
          <t>철강산업 기업간 제조업무 데이터 공유를 위한 메타데이터</t>
        </is>
      </c>
      <c r="D6" s="84" t="n"/>
      <c r="E6" s="10" t="inlineStr">
        <is>
          <t>제정일</t>
        </is>
      </c>
      <c r="F6" s="85" t="inlineStr">
        <is>
          <t>2025.06.27</t>
        </is>
      </c>
    </row>
    <row r="7" ht="15" customHeight="1" s="60">
      <c r="B7" s="10" t="inlineStr">
        <is>
          <t>소관 PG</t>
        </is>
      </c>
      <c r="C7" s="85" t="inlineStr">
        <is>
          <t>PG606</t>
        </is>
      </c>
      <c r="D7" s="84" t="n"/>
      <c r="E7" s="10" t="inlineStr">
        <is>
          <t>최근 개정일</t>
        </is>
      </c>
      <c r="F7" s="85" t="inlineStr">
        <is>
          <t>-</t>
        </is>
      </c>
    </row>
    <row r="8" ht="15" customHeight="1" s="60">
      <c r="B8" s="10" t="inlineStr">
        <is>
          <t>도메인 분류</t>
        </is>
      </c>
      <c r="C8" s="83" t="inlineStr">
        <is>
          <t>철강 산업데이터(제조) / 메타데이터(데이터요소 사전형)</t>
        </is>
      </c>
      <c r="D8" s="84" t="n"/>
      <c r="E8" s="10" t="inlineStr">
        <is>
          <t>분석 담당자</t>
        </is>
      </c>
      <c r="F8" s="85" t="inlineStr">
        <is>
          <t>(Tier1)</t>
        </is>
      </c>
    </row>
    <row r="10" ht="16.5" customHeight="1" s="60">
      <c r="B10" s="82" t="inlineStr">
        <is>
          <t>■ A축 — 품질·정합성 결함 점검</t>
        </is>
      </c>
      <c r="C10" s="62" t="n"/>
      <c r="D10" s="62" t="n"/>
      <c r="E10" s="62" t="n"/>
      <c r="F10" s="62" t="n"/>
    </row>
    <row r="11" ht="15" customHeight="1" s="60">
      <c r="B11" s="4" t="inlineStr">
        <is>
          <t>결함 유형</t>
        </is>
      </c>
      <c r="C11" s="2" t="inlineStr">
        <is>
          <t>발견</t>
        </is>
      </c>
      <c r="D11" s="71" t="inlineStr">
        <is>
          <t>구체 사례</t>
        </is>
      </c>
      <c r="E11" s="62" t="n"/>
      <c r="F11" s="2" t="inlineStr">
        <is>
          <t>자동검사</t>
        </is>
      </c>
    </row>
    <row r="12" ht="57.75" customHeight="1" s="60">
      <c r="B12" s="3" t="inlineStr">
        <is>
          <t>데이터 타입 정의 오류</t>
        </is>
      </c>
      <c r="C12" s="13" t="inlineStr">
        <is>
          <t>Y</t>
        </is>
      </c>
      <c r="D12" s="75" t="inlineStr">
        <is>
          <t>부속서 A.5.1과 &lt;표 A.6-2&gt; '데이터형식'은 데이터 타입을 string·numeric·datetime·boolean 4종으로만 한정한다고 명시한다. 그러나 본문 메타데이터 표(&lt;표 6-1&gt;~&lt;표 6-3&gt;)의 '데이터 유형' 열은 Code(34건)·Date(9건)·Time(34건)을 추가로 사용한다(예: 6.1-7 광종코드 ORETP_CD=Code). 선언된 타입 집합과 실제 사용 타입이 불일치하여 타입 정의가 사실과 다르다.</t>
        </is>
      </c>
      <c r="E12" s="62" t="n"/>
      <c r="F12" s="14" t="inlineStr">
        <is>
          <t>부분</t>
        </is>
      </c>
    </row>
    <row r="13" ht="57.75" customHeight="1" s="60">
      <c r="B13" s="3" t="inlineStr">
        <is>
          <t>단위 표기 모호성</t>
        </is>
      </c>
      <c r="C13" s="13" t="inlineStr">
        <is>
          <t>Y</t>
        </is>
      </c>
      <c r="D13" s="75" t="inlineStr">
        <is>
          <t>온도·길이·중량·각도 등 물리량 요소에 단위 필드가 없다(예: 6.3-46 열연가열로가열대온도 HR_RHNGF_HSN_TMP=Numeric, 6.1-2 BIN용량 BIN_CPCT=Numeric, 6.1-8 리클레이머부앙각 RCLM_ANGDE=Numeric). A.5.1이 '데이터 타입만 적용'한다고 명시해 단위·유효범위·소수자릿수를 구조화하지 않으며, mm·ton·℃ 등 단위는 정의문 산문에만 산발적으로 등장한다.</t>
        </is>
      </c>
      <c r="E13" s="62" t="n"/>
      <c r="F13" s="14" t="inlineStr">
        <is>
          <t>부분</t>
        </is>
      </c>
    </row>
    <row r="14" ht="57.75" customHeight="1" s="60">
      <c r="B14" s="3" t="inlineStr">
        <is>
          <t>인용/준용표준 분류 오류</t>
        </is>
      </c>
      <c r="C14" s="13" t="inlineStr">
        <is>
          <t>Y</t>
        </is>
      </c>
      <c r="D14" s="75" t="inlineStr">
        <is>
          <t>절 2 '인용 표준'은 '해당 사항 없음'으로 표기한다. 그러나 용어 정의가 외부 표준을 규범적으로 준용한다: 3.1·3.7·3.9·3.19 '정의는 KSD0041을 따른다', 3.43 데이터표준화 '정의는 ISO/IEC 11179-1:2015를 따른다', 3.39 [출처]TTAK.KO-10.1405-Part1, 3.41·3.42 [출처]TTAK.KO-10.0122/R1. 이들 규범적 의존을 인용표준이 아닌 참고문헌(부록 Ⅰ-4)에만 두었다.</t>
        </is>
      </c>
      <c r="E14" s="62" t="n"/>
      <c r="F14" s="14" t="inlineStr">
        <is>
          <t>부분</t>
        </is>
      </c>
    </row>
    <row r="15" ht="57.75" customHeight="1" s="60">
      <c r="B15" s="3" t="inlineStr">
        <is>
          <t>코드/enum 정의 오류</t>
        </is>
      </c>
      <c r="C15" s="13" t="inlineStr">
        <is>
          <t>Y</t>
        </is>
      </c>
      <c r="D15" s="75" t="inlineStr">
        <is>
          <t>본문에서 다수 요소의 데이터 유형을 Code로 부여하나(예: 6.1-7 광종코드 ORETP_CD=Code), 코드 도메인 지침 A.5.12 &lt;표 A.5-11&gt; 및 &lt;표 A.5-1&gt; 코드 분류는 '코드 값은 각 기업마다 달리 정의하여 사용하므로 코드값은 본 표준에서 정하지 않는다'고 하여 코드/enum 유효값 정의가 부재한다. 코드형 요소가 값집합 없이 선언되어 공유 상호운용에 미흡하다.</t>
        </is>
      </c>
      <c r="E15" s="62" t="n"/>
      <c r="F15" s="14" t="inlineStr">
        <is>
          <t>부분</t>
        </is>
      </c>
    </row>
    <row r="16" ht="57.75" customHeight="1" s="60">
      <c r="B16" s="3" t="inlineStr">
        <is>
          <t>오타·표기 불일치</t>
        </is>
      </c>
      <c r="C16" s="13" t="inlineStr">
        <is>
          <t>Y</t>
        </is>
      </c>
      <c r="D16" s="75" t="inlineStr">
        <is>
          <t>3.23 연신율 본문은 '정의는 KSD0041 철강 용어(제품 및 품질)을 따른다'고 적었으나 [출처]는 KSD0048(철강 용어(시험))로 불일치한다. 데이터 유형 표기도 'Datetime'(76건)과 'datetime'(2건)이 혼재하고, 3.32 주편 정의에 '불룸'이 표준 용어 3.7 '블룸(Bloom)'과 다르게 표기된다.</t>
        </is>
      </c>
      <c r="E16" s="62" t="n"/>
      <c r="F16" s="14" t="inlineStr">
        <is>
          <t>부분</t>
        </is>
      </c>
    </row>
    <row r="17" ht="57.75" customHeight="1" s="60">
      <c r="B17" s="3" t="inlineStr">
        <is>
          <t>내부 일관성</t>
        </is>
      </c>
      <c r="C17" s="13" t="inlineStr">
        <is>
          <t>Y</t>
        </is>
      </c>
      <c r="D17" s="75" t="inlineStr">
        <is>
          <t>타입 집합 선언(A.5.1·&lt;표 A.6-2&gt;: 4종)과 본문 표 실제 사용(7종: Numeric/String/Datetime/Boolean/Code/Date/Time)이 모순된다. 또 A.5.1은 표준도메인이 '최대 길이·소수점 이하 자릿수·유효 범위·유효 형식·유효 목록을 정의'한다고 서술하면서 곧바로 '본 표준에서는 데이터 타입만 적용한다'고 하여 도메인 정의 범위가 자기모순적이다.</t>
        </is>
      </c>
      <c r="E17" s="62" t="n"/>
      <c r="F17" s="14" t="inlineStr">
        <is>
          <t>부분</t>
        </is>
      </c>
    </row>
    <row r="18" ht="57.75" customHeight="1" s="60">
      <c r="B18" s="3" t="inlineStr">
        <is>
          <t>기타</t>
        </is>
      </c>
      <c r="C18" s="13" t="inlineStr">
        <is>
          <t>N</t>
        </is>
      </c>
      <c r="D18" s="75" t="inlineStr">
        <is>
          <t>분류체계(&lt;표 5-1&gt; 레벨1~3)와 요소 수 진술(제선 110개·압연 328개)은 본문 표와 일치하며, 위 6개 유형 외 추가 결함은 확인되지 않았다.</t>
        </is>
      </c>
      <c r="E18" s="62" t="n"/>
      <c r="F18" s="14" t="inlineStr">
        <is>
          <t>—</t>
        </is>
      </c>
    </row>
    <row r="19" ht="15" customHeight="1" s="60">
      <c r="B19" s="15" t="inlineStr">
        <is>
          <t>결함 발견 수 (Y)</t>
        </is>
      </c>
      <c r="C19" s="86">
        <f>COUNTIF(C12:C18,"Y")</f>
        <v/>
      </c>
      <c r="D19" s="62" t="n"/>
      <c r="E19" s="62" t="n"/>
      <c r="F19" s="62" t="n"/>
    </row>
    <row r="21" ht="16.5" customHeight="1" s="60">
      <c r="B21" s="82" t="inlineStr">
        <is>
          <t>■ B축 — AI-Ready 7개 구성요소 성숙도</t>
        </is>
      </c>
      <c r="C21" s="62" t="n"/>
      <c r="D21" s="62" t="n"/>
      <c r="E21" s="62" t="n"/>
      <c r="F21" s="62" t="n"/>
    </row>
    <row r="22" ht="15" customHeight="1" s="60">
      <c r="B22" s="4" t="inlineStr">
        <is>
          <t>구성요소</t>
        </is>
      </c>
      <c r="C22" s="2" t="inlineStr">
        <is>
          <t>등급(0/1/2)</t>
        </is>
      </c>
      <c r="D22" s="4" t="inlineStr">
        <is>
          <t>근거</t>
        </is>
      </c>
      <c r="E22" s="71" t="inlineStr">
        <is>
          <t>충족 위한 매핑 대상</t>
        </is>
      </c>
      <c r="F22" s="62" t="n"/>
    </row>
    <row r="23" ht="61.5" customHeight="1" s="60">
      <c r="B23" s="3" t="inlineStr">
        <is>
          <t>시맨틱</t>
        </is>
      </c>
      <c r="C23" s="18" t="n">
        <v>0</v>
      </c>
      <c r="D23" s="19" t="inlineStr">
        <is>
          <t>대·중·소 3계층 분류와 요소 의미가 로컬·산문, 전역 IRI 없음.</t>
        </is>
      </c>
      <c r="E23" s="74" t="inlineStr">
        <is>
          <t>skos; 산업 데이터 어휘</t>
        </is>
      </c>
      <c r="F23" s="62" t="n"/>
    </row>
    <row r="24" ht="61.5" customHeight="1" s="60">
      <c r="B24" s="3" t="inlineStr">
        <is>
          <t>데이터 모델</t>
        </is>
      </c>
      <c r="C24" s="18" t="n">
        <v>1</v>
      </c>
      <c r="D24" s="19" t="inlineStr">
        <is>
          <t>데이터형식(string·numeric·datetime·boolean)·표준도메인을 표로 정의(4종↔7종 불일치=A축), 검증 스키마 없음.</t>
        </is>
      </c>
      <c r="E24" s="74" t="inlineStr">
        <is>
          <t>SHACL</t>
        </is>
      </c>
      <c r="F24" s="62" t="n"/>
    </row>
    <row r="25" ht="61.5" customHeight="1" s="60">
      <c r="B25" s="3" t="inlineStr">
        <is>
          <t>신태틱</t>
        </is>
      </c>
      <c r="C25" s="18" t="n">
        <v>0</v>
      </c>
      <c r="D25" s="19" t="inlineStr">
        <is>
          <t>직렬화 규범이 없다. 본문은 PDF 표로만 제시되며 JSON-LD/RDF/XML 등 교환 직렬화 형식이 전혀 언급·제공되지 않는다(IRI·RDF·JSON·XML 출현 0건).</t>
        </is>
      </c>
      <c r="E25" s="74" t="inlineStr">
        <is>
          <t>JSON-LD·Croissant(규범 직렬화 제공)</t>
        </is>
      </c>
      <c r="F25" s="62" t="n"/>
    </row>
    <row r="26" ht="61.5" customHeight="1" s="60">
      <c r="B26" s="3" t="inlineStr">
        <is>
          <t>운영 시맨틱</t>
        </is>
      </c>
      <c r="C26" s="18" t="inlineStr">
        <is>
          <t>N/A</t>
        </is>
      </c>
      <c r="D26" s="19" t="inlineStr">
        <is>
          <t>기업간 제조데이터 공유 메타데이터 — ML 사용 정의 비대상(비해당).</t>
        </is>
      </c>
      <c r="E26" s="74" t="inlineStr">
        <is>
          <t>—</t>
        </is>
      </c>
      <c r="F26" s="62" t="n"/>
    </row>
    <row r="27" ht="61.5" customHeight="1" s="60">
      <c r="B27" s="3" t="inlineStr">
        <is>
          <t>출처/계보</t>
        </is>
      </c>
      <c r="C27" s="18" t="n">
        <v>1</v>
      </c>
      <c r="D27" s="17" t="inlineStr">
        <is>
          <t>용어 정의에 [출처] 필드가 존재해 일부 출처를 기록한다(예: 3.4 [출처] 철강표준용어사전, 3.43 [출처] ISO/IEC 11179-1:2015, 참고문헌 Ⅰ-4). 그러나 데이터 인스턴스의 생성·가공 계보는 다루지 않으며 PROV-O 등 형식화는 없다.</t>
        </is>
      </c>
      <c r="E27" s="74" t="inlineStr">
        <is>
          <t>PROV-O(데이터 계보 형식화)</t>
        </is>
      </c>
      <c r="F27" s="62" t="n"/>
    </row>
    <row r="28" ht="61.5" customHeight="1" s="60">
      <c r="B28" s="3" t="inlineStr">
        <is>
          <t>품질 프로파일</t>
        </is>
      </c>
      <c r="C28" s="16" t="n">
        <v>0</v>
      </c>
      <c r="D28" s="19" t="inlineStr">
        <is>
          <t>데이터 품질 신호(완전성·정확성·정밀도·측정신뢰도 등)를 표현하는 메타데이터 필드나 품질 프로파일이 부재하다. 결함 관련 요소는 업무 데이터(예: 6.3-45 결함발생길이)일 뿐 품질 평가 메타데이터가 아니다.</t>
        </is>
      </c>
      <c r="E28" s="74" t="inlineStr">
        <is>
          <t>DQV(품질 차원·측정 형식화)</t>
        </is>
      </c>
      <c r="F28" s="62" t="n"/>
    </row>
    <row r="29" ht="61.5" customHeight="1" s="60">
      <c r="B29" s="3" t="inlineStr">
        <is>
          <t>접근/사용 제약</t>
        </is>
      </c>
      <c r="C29" s="18" t="n">
        <v>1</v>
      </c>
      <c r="D29" s="19" t="inlineStr">
        <is>
          <t>문서 수준 저작권 고지만 존재한다(표지 'TTA에 사전 협의 없이 상업적 복제·배포 금지', 부록 Ⅰ-1 지식재산권 확약서='해당 사항 없음'). 데이터 수준의 라이선스·접근권·공유조건 메타데이터(DCAT/ODRL)는 없으며, 표준 제목이 '기업간 데이터 공유'임에도 공유 조건 요소가 정의되지 않았다.</t>
        </is>
      </c>
      <c r="E29" s="74" t="inlineStr">
        <is>
          <t>DCAT v3·ODRL(데이터 수준 라이선스·접근권)</t>
        </is>
      </c>
      <c r="F29" s="62" t="n"/>
    </row>
    <row r="30" ht="15" customHeight="1" s="60">
      <c r="B30" s="15" t="inlineStr">
        <is>
          <t>성숙도 점수</t>
        </is>
      </c>
      <c r="C30" s="81">
        <f>IF(COUNT(C23:C29)=0,"",SUM(C23:C29)/(COUNT(C23:C29)*2))</f>
        <v/>
      </c>
      <c r="D30" s="62" t="n"/>
      <c r="E30" s="62" t="n"/>
      <c r="F30" s="62" t="n"/>
    </row>
    <row r="32" ht="16.5" customHeight="1" s="60">
      <c r="B32" s="76" t="inlineStr">
        <is>
          <t>■ 종합 — 가장 시급한 개선 1~2개</t>
        </is>
      </c>
      <c r="C32" s="62" t="n"/>
      <c r="D32" s="62" t="n"/>
      <c r="E32" s="62" t="n"/>
      <c r="F32" s="62" t="n"/>
    </row>
    <row r="33" ht="21.75" customHeight="1" s="60">
      <c r="B33" s="78" t="inlineStr">
        <is>
          <t>1) 본문 표가 사용하는 데이터 유형(Code·Date·Time)을 A.5.1·&lt;표 A.6-2&gt;의 선언(string·numeric·datetime·boolean 4종)에 맞춰 정합화하고, Code 유형 요소의 유효값(enum)을 표준 코드로 정의한다.
2) 절 2 인용표준의 '해당 사항 없음'을 바로잡아 KSD0041·KSD0048·ISO/IEC 11179-1·TTAK.KO-10.0122/R1·1405-Part1을 규범 인용으로 분류하고, 물리량 요소에 단위(UCUM/QUDT) 필드를 추가한다.</t>
        </is>
      </c>
      <c r="C33" s="79" t="n"/>
      <c r="D33" s="79" t="n"/>
      <c r="E33" s="79" t="n"/>
      <c r="F33" s="79" t="n"/>
    </row>
    <row r="34" ht="21.75" customHeight="1" s="60">
      <c r="B34" s="8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pageMargins left="0.3" right="0.3" top="0.4" bottom="0.4" header="0.511811023622047" footer="0.511811023622047"/>
  <pageSetup orientation="landscape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workbookViewId="0">
      <selection activeCell="A1" sqref="A1"/>
    </sheetView>
  </sheetViews>
  <sheetFormatPr baseColWidth="8" defaultColWidth="8.6328125" defaultRowHeight="14.5"/>
  <cols>
    <col width="3" customWidth="1" style="60" min="1" max="1"/>
    <col width="20" customWidth="1" style="60" min="2" max="2"/>
    <col width="11" customWidth="1" style="60" min="3" max="3"/>
    <col width="24" customWidth="1" style="60" min="4" max="4"/>
    <col width="18" customWidth="1" style="60" min="5" max="5"/>
    <col width="16" customWidth="1" style="60" min="6" max="6"/>
    <col width="3" customWidth="1" style="60" min="7" max="7"/>
  </cols>
  <sheetData>
    <row r="2" ht="24" customHeight="1" s="60">
      <c r="B2" s="77" t="inlineStr">
        <is>
          <t>AI-Ready 표준 분석 카드</t>
        </is>
      </c>
    </row>
    <row r="4" ht="15" customHeight="1" s="60">
      <c r="B4" s="76" t="inlineStr">
        <is>
          <t>■ 식별 정보</t>
        </is>
      </c>
      <c r="C4" s="62" t="n"/>
      <c r="D4" s="62" t="n"/>
      <c r="E4" s="62" t="n"/>
      <c r="F4" s="62" t="n"/>
    </row>
    <row r="5" ht="15" customHeight="1" s="60">
      <c r="B5" s="10" t="inlineStr">
        <is>
          <t>표준번호</t>
        </is>
      </c>
      <c r="C5" s="85" t="inlineStr">
        <is>
          <t>TTAK.KO-10.1598</t>
        </is>
      </c>
      <c r="D5" s="84" t="n"/>
      <c r="E5" s="10" t="inlineStr">
        <is>
          <t>판수</t>
        </is>
      </c>
      <c r="F5" s="83" t="inlineStr">
        <is>
          <t>제1판</t>
        </is>
      </c>
    </row>
    <row r="6" ht="29.25" customHeight="1" s="60">
      <c r="B6" s="10" t="inlineStr">
        <is>
          <t>표준명</t>
        </is>
      </c>
      <c r="C6" s="83" t="inlineStr">
        <is>
          <t>무기체계 센서데이터 관리를 위한 메타데이터</t>
        </is>
      </c>
      <c r="D6" s="84" t="n"/>
      <c r="E6" s="10" t="inlineStr">
        <is>
          <t>제정일</t>
        </is>
      </c>
      <c r="F6" s="85" t="inlineStr">
        <is>
          <t>2025.12.05</t>
        </is>
      </c>
    </row>
    <row r="7" ht="15" customHeight="1" s="60">
      <c r="B7" s="10" t="inlineStr">
        <is>
          <t>소관 PG</t>
        </is>
      </c>
      <c r="C7" s="85" t="inlineStr">
        <is>
          <t>PG606</t>
        </is>
      </c>
      <c r="D7" s="84" t="n"/>
      <c r="E7" s="10" t="inlineStr">
        <is>
          <t>최근 개정일</t>
        </is>
      </c>
      <c r="F7" s="85" t="inlineStr">
        <is>
          <t>-</t>
        </is>
      </c>
    </row>
    <row r="8" ht="15" customHeight="1" s="60">
      <c r="B8" s="10" t="inlineStr">
        <is>
          <t>도메인 분류</t>
        </is>
      </c>
      <c r="C8" s="83" t="inlineStr">
        <is>
          <t>국방 무기체계 센서데이터(CBM+) / 메타데이터(관리·관계형 항목 정의)</t>
        </is>
      </c>
      <c r="D8" s="84" t="n"/>
      <c r="E8" s="10" t="inlineStr">
        <is>
          <t>분석 담당자</t>
        </is>
      </c>
      <c r="F8" s="85" t="inlineStr">
        <is>
          <t>(Tier1)</t>
        </is>
      </c>
    </row>
    <row r="10" ht="16.5" customHeight="1" s="60">
      <c r="B10" s="82" t="inlineStr">
        <is>
          <t>■ A축 — 품질·정합성 결함 점검</t>
        </is>
      </c>
      <c r="C10" s="62" t="n"/>
      <c r="D10" s="62" t="n"/>
      <c r="E10" s="62" t="n"/>
      <c r="F10" s="62" t="n"/>
    </row>
    <row r="11" ht="15" customHeight="1" s="60">
      <c r="B11" s="4" t="inlineStr">
        <is>
          <t>결함 유형</t>
        </is>
      </c>
      <c r="C11" s="2" t="inlineStr">
        <is>
          <t>발견</t>
        </is>
      </c>
      <c r="D11" s="71" t="inlineStr">
        <is>
          <t>구체 사례</t>
        </is>
      </c>
      <c r="E11" s="62" t="n"/>
      <c r="F11" s="2" t="inlineStr">
        <is>
          <t>자동검사</t>
        </is>
      </c>
    </row>
    <row r="12" ht="57.75" customHeight="1" s="60">
      <c r="B12" s="3" t="inlineStr">
        <is>
          <t>데이터 타입 정의 오류</t>
        </is>
      </c>
      <c r="C12" s="13" t="inlineStr">
        <is>
          <t>N/A</t>
        </is>
      </c>
      <c r="D12" s="75" t="inlineStr">
        <is>
          <t>&lt;표 5-2&gt;는 STRING·INT·DATETIME·FLOAT·JSON의 5개 추상 데이터타입만 정의하고, 각 요소 상세표(&lt;표 6-3&gt;~&lt;표 6-126&gt;)의 '데이터타입' 칸도 이 5종만 쓴다. XML Schema(xs:short 등) 같은 정밀 타입 정의가 없어 타입 정의 오류 유형 자체가 비해당이다.</t>
        </is>
      </c>
      <c r="E12" s="62" t="n"/>
      <c r="F12" s="14" t="inlineStr">
        <is>
          <t>—</t>
        </is>
      </c>
    </row>
    <row r="13" ht="57.75" customHeight="1" s="60">
      <c r="B13" s="3" t="inlineStr">
        <is>
          <t>단위 표기 모호성</t>
        </is>
      </c>
      <c r="C13" s="13" t="inlineStr">
        <is>
          <t>Y</t>
        </is>
      </c>
      <c r="D13" s="75" t="inlineStr">
        <is>
          <t>&lt;표 6-39&gt;[센서측정항목-값단위] 값 도메인이 {g, m/s^2, °C, %, rad/s, deg, Pa}로 표시용 문자 코드일 뿐 UCUM/QUDT 같은 단위 어휘에 바인딩되지 않고, m/s^2(ASCII)와 °C(기호)가 혼재한다. &lt;표 6-31&gt;·&lt;표 6-45&gt; 샘플링단위는 {s, ms, μs, ns, Hz, kHz}로 '주기 단위'와 '빈도 단위'를 한 칸에 섞어 두어 동일 항목에 복수 단위 계열이 혼재한다.</t>
        </is>
      </c>
      <c r="E13" s="62" t="n"/>
      <c r="F13" s="14" t="inlineStr">
        <is>
          <t>부분</t>
        </is>
      </c>
    </row>
    <row r="14" ht="57.75" customHeight="1" s="60">
      <c r="B14" s="3" t="inlineStr">
        <is>
          <t>인용/준용표준 분류 오류</t>
        </is>
      </c>
      <c r="C14" s="13" t="inlineStr">
        <is>
          <t>N</t>
        </is>
      </c>
      <c r="D14" s="75" t="inlineStr">
        <is>
          <t>제2장 '인용 표준 — 해당 사항 없음'이며 서문 3장도 'None'이다. 본문이 NATO STANAG·ISO를 언급하나(5.2 작성원칙, 6.2.2.2 특징) 이는 상호운용성 '고려' 수준의 비규범적 참고일 뿐, 외부 표준의 스키마·어휘·코드를 실제로 준용하지 않는다. 누락된 규범적 의존이 확인되지 않아 통과로 본다.</t>
        </is>
      </c>
      <c r="E14" s="62" t="n"/>
      <c r="F14" s="14" t="inlineStr">
        <is>
          <t>—</t>
        </is>
      </c>
    </row>
    <row r="15" ht="57.75" customHeight="1" s="60">
      <c r="B15" s="3" t="inlineStr">
        <is>
          <t>코드/enum 정의 오류</t>
        </is>
      </c>
      <c r="C15" s="13" t="inlineStr">
        <is>
          <t>N</t>
        </is>
      </c>
      <c r="D15" s="75" t="inlineStr">
        <is>
          <t>보안등급 {일반,대외비,2급비밀,1급비밀}(&lt;표 6-97&gt;), 권한 {read,write,share,admin}(&lt;표 6-107&gt;), 출처 역할 {producer,collector,provider,ingestor,processor,analyst}(&lt;표 6-122&gt;), 행위 {view,import,update,delete,share,export,grant,revoke}(&lt;표 6-112&gt;) 등 코드세트의 헤더·값 정의 자체에는 오류가 발견되지 않는다.</t>
        </is>
      </c>
      <c r="E15" s="62" t="n"/>
      <c r="F15" s="14" t="inlineStr">
        <is>
          <t>—</t>
        </is>
      </c>
    </row>
    <row r="16" ht="57.75" customHeight="1" s="60">
      <c r="B16" s="3" t="inlineStr">
        <is>
          <t>오타·표기 불일치</t>
        </is>
      </c>
      <c r="C16" s="13" t="inlineStr">
        <is>
          <t>Y</t>
        </is>
      </c>
      <c r="D16" s="75" t="inlineStr">
        <is>
          <t>&lt;표 6-77&gt;은 제목·요소명이 모두 '데이블설명'으로 표기되나(No.75) 요약표 &lt;표 6-2&gt;와 6.2.2.10 본문은 '테이블설명'으로 적어 동일 요소 명칭이 불일치한다. 또한 한글 요소명 '무기체계ID'·'담당자ID'의 참조 설명에 영문 내부명 system_id(&lt;표 6-21&gt;·No.19)와 actor_id(&lt;표 6-123&gt;·No.121)가 그대로 노출되고, 6.2.1.2 본문 'file_id·db_id', '정보DB'(요소군명은 'DB정보')처럼 영문/국문 명칭이 혼용된다.</t>
        </is>
      </c>
      <c r="E16" s="62" t="n"/>
      <c r="F16" s="14" t="inlineStr">
        <is>
          <t>부분</t>
        </is>
      </c>
    </row>
    <row r="17" ht="57.75" customHeight="1" s="60">
      <c r="B17" s="3" t="inlineStr">
        <is>
          <t>내부 일관성</t>
        </is>
      </c>
      <c r="C17" s="13" t="inlineStr">
        <is>
          <t>Y</t>
        </is>
      </c>
      <c r="D17" s="75" t="inlineStr">
        <is>
          <t>&lt;표 6-16&gt;[무기체계-무기체계설명]이 26·27쪽에 동일 No.14 내용으로 두 번 부여되어 표 번호가 중복되고(그 사이 No.16 배치부대명 표가 번호 체계에서 누락된 것으로 보임), &lt;표 6-109&gt;[감사이벤트-적용대상유형](No.107)은 '요소군' 칸이 '감사이벤트'가 아닌 '0'으로 잘못 입력됐다. 또 &lt;표 6-53&gt; 데이터세트버전의 '검증규칙/길이제약' 칸은 권장 정규식이 줄바꿈으로 깨져 조각만 남는 등 표 칸 채움·번호 부여에 일관성 결함이 있다.</t>
        </is>
      </c>
      <c r="E17" s="62" t="n"/>
      <c r="F17" s="14" t="inlineStr">
        <is>
          <t>부분</t>
        </is>
      </c>
    </row>
    <row r="18" ht="57.75" customHeight="1" s="60">
      <c r="B18" s="3" t="inlineStr">
        <is>
          <t>기타</t>
        </is>
      </c>
      <c r="C18" s="13" t="inlineStr">
        <is>
          <t>N</t>
        </is>
      </c>
      <c r="D18" s="75" t="inlineStr">
        <is>
          <t>위 6개 유형 외에 별도로 분류할 결함은 확인되지 않는다. 적용범위(1장)·기술원칙(5장)·구성요건(6.1)·작성 프로세스(6.2.1.2) 서술은 일관적이다.</t>
        </is>
      </c>
      <c r="E18" s="62" t="n"/>
      <c r="F18" s="14" t="inlineStr">
        <is>
          <t>—</t>
        </is>
      </c>
    </row>
    <row r="19" ht="15" customHeight="1" s="60">
      <c r="B19" s="15" t="inlineStr">
        <is>
          <t>결함 발견 수 (Y)</t>
        </is>
      </c>
      <c r="C19" s="86">
        <f>COUNTIF(C12:C18,"Y")</f>
        <v/>
      </c>
      <c r="D19" s="62" t="n"/>
      <c r="E19" s="62" t="n"/>
      <c r="F19" s="62" t="n"/>
    </row>
    <row r="21" ht="16.5" customHeight="1" s="60">
      <c r="B21" s="82" t="inlineStr">
        <is>
          <t>■ B축 — AI-Ready 7개 구성요소 성숙도</t>
        </is>
      </c>
      <c r="C21" s="62" t="n"/>
      <c r="D21" s="62" t="n"/>
      <c r="E21" s="62" t="n"/>
      <c r="F21" s="62" t="n"/>
    </row>
    <row r="22" ht="15" customHeight="1" s="60">
      <c r="B22" s="4" t="inlineStr">
        <is>
          <t>구성요소</t>
        </is>
      </c>
      <c r="C22" s="2" t="inlineStr">
        <is>
          <t>등급(0/1/2)</t>
        </is>
      </c>
      <c r="D22" s="4" t="inlineStr">
        <is>
          <t>근거</t>
        </is>
      </c>
      <c r="E22" s="71" t="inlineStr">
        <is>
          <t>충족 위한 매핑 대상</t>
        </is>
      </c>
      <c r="F22" s="62" t="n"/>
    </row>
    <row r="23" ht="61.5" customHeight="1" s="60">
      <c r="B23" s="3" t="inlineStr">
        <is>
          <t>시맨틱</t>
        </is>
      </c>
      <c r="C23" s="18" t="n">
        <v>0</v>
      </c>
      <c r="D23" s="19" t="inlineStr">
        <is>
          <t>17개 요소군·PK/FK 관계·의미가 로컬 코드·산문, IRI 없음.</t>
        </is>
      </c>
      <c r="E23" s="74" t="inlineStr">
        <is>
          <t>SOSA/SSN; skos</t>
        </is>
      </c>
      <c r="F23" s="62" t="n"/>
    </row>
    <row r="24" ht="61.5" customHeight="1" s="60">
      <c r="B24" s="3" t="inlineStr">
        <is>
          <t>데이터 모델</t>
        </is>
      </c>
      <c r="C24" s="18" t="n">
        <v>1</v>
      </c>
      <c r="D24" s="19" t="inlineStr">
        <is>
          <t>관계형 PK/FK·값 타입·단위를 표로 정의(표 수준, 검증 스키마 없음).</t>
        </is>
      </c>
      <c r="E24" s="74" t="inlineStr">
        <is>
          <t>SHACL</t>
        </is>
      </c>
      <c r="F24" s="62" t="n"/>
    </row>
    <row r="25" ht="61.5" customHeight="1" s="60">
      <c r="B25" s="3" t="inlineStr">
        <is>
          <t>신태틱</t>
        </is>
      </c>
      <c r="C25" s="18" t="n">
        <v>0</v>
      </c>
      <c r="D25" s="19" t="inlineStr">
        <is>
          <t>직렬화 규범이 없다. 5.3은 표 표기 항목만, 5.4/&lt;표 5-2&gt;의 'JSON'은 통계요약 한 요소(&lt;표 6-46&gt;)의 값 형식일 뿐 스키마 전체의 규범 직렬화가 아니다. 다중값은 구분자 ';'(5.2)로만 처리하며 JSON-LD/RDF/XML 등 규범 직렬화가 없어 0.</t>
        </is>
      </c>
      <c r="E25" s="74" t="inlineStr">
        <is>
          <t>JSON-LD·Croissant</t>
        </is>
      </c>
      <c r="F25" s="62" t="n"/>
    </row>
    <row r="26" ht="61.5" customHeight="1" s="60">
      <c r="B26" s="3" t="inlineStr">
        <is>
          <t>운영 시맨틱</t>
        </is>
      </c>
      <c r="C26" s="18" t="inlineStr">
        <is>
          <t>N/A</t>
        </is>
      </c>
      <c r="D26" s="19" t="inlineStr">
        <is>
          <t>무기체계 센서데이터 관리 메타데이터 — ML 사용 정의 비대상(비해당).</t>
        </is>
      </c>
      <c r="E26" s="74" t="inlineStr">
        <is>
          <t>—</t>
        </is>
      </c>
      <c r="F26" s="62" t="n"/>
    </row>
    <row r="27" ht="61.5" customHeight="1" s="60">
      <c r="B27" s="3" t="inlineStr">
        <is>
          <t>출처/계보</t>
        </is>
      </c>
      <c r="C27" s="18" t="n">
        <v>1</v>
      </c>
      <c r="D27" s="17" t="inlineStr">
        <is>
          <t>전용 '출처' 요소군(No.117~124, 6.2.2.17)이 역할 {producer,collector,provider,ingestor,processor,analyst}·방법 {SFTP,HTTPS,API,Manual,Physical}·담당자ID(FK)·시각을 규정하고 '모든 데이터세트는 최소 1개 출처 레코드 연결' 규칙을 둔다. 출처 필드가 체계적으로 존재하나 PROV-O로 형식화되지 않아 1.</t>
        </is>
      </c>
      <c r="E27" s="74" t="inlineStr">
        <is>
          <t>PROV-O(역할→prov:Agent/Activity 매핑)</t>
        </is>
      </c>
      <c r="F27" s="62" t="n"/>
    </row>
    <row r="28" ht="61.5" customHeight="1" s="60">
      <c r="B28" s="3" t="inlineStr">
        <is>
          <t>품질 프로파일</t>
        </is>
      </c>
      <c r="C28" s="16" t="n">
        <v>1</v>
      </c>
      <c r="D28" s="19" t="inlineStr">
        <is>
          <t>전용 '품질정보' 요소군(No.77~83, 6.2.2.11)이 정확도·신뢰도·결측률(0~1)·드리프트지표·품질보고서 참조를 정량 기록하여 단순 enum 코드를 넘는 품질 신호를 담는다. 다만 DQV 등 표준 품질 어휘로 형식화되지 않아 1.</t>
        </is>
      </c>
      <c r="E28" s="74" t="inlineStr">
        <is>
          <t>DQV(dqv:QualityMeasurement 매핑)</t>
        </is>
      </c>
      <c r="F28" s="62" t="n"/>
    </row>
    <row r="29" ht="61.5" customHeight="1" s="60">
      <c r="B29" s="3" t="inlineStr">
        <is>
          <t>접근/사용 제약</t>
        </is>
      </c>
      <c r="C29" s="18" t="n">
        <v>1</v>
      </c>
      <c r="D29" s="19" t="inlineStr">
        <is>
          <t>문서 저작권(표지)에 더해 데이터 수준 제약을 보안정책(No.92~100)·접근권한(No.101~105, 권한 {read,write,share,admin})·감사이벤트(No.106~112) 요소군으로 명시하고 적용대상유형 {system,…,db}+적용대상키로 대상 엔터티를 지정한다. 그러나 군 보안 코드 중심이며 DCAT/ODRL 같은 라이선스·사용권 어휘로 형식화되지 않아 1.</t>
        </is>
      </c>
      <c r="E29" s="74" t="inlineStr">
        <is>
          <t>ODRL·DCAT v3(접근권한·보존정책 형식화)</t>
        </is>
      </c>
      <c r="F29" s="62" t="n"/>
    </row>
    <row r="30" ht="15" customHeight="1" s="60">
      <c r="B30" s="15" t="inlineStr">
        <is>
          <t>성숙도 점수</t>
        </is>
      </c>
      <c r="C30" s="81">
        <f>IF(COUNT(C23:C29)=0,"",SUM(C23:C29)/(COUNT(C23:C29)*2))</f>
        <v/>
      </c>
      <c r="D30" s="62" t="n"/>
      <c r="E30" s="62" t="n"/>
      <c r="F30" s="62" t="n"/>
    </row>
    <row r="32" ht="16.5" customHeight="1" s="60">
      <c r="B32" s="76" t="inlineStr">
        <is>
          <t>■ 종합 — 가장 시급한 개선 1~2개</t>
        </is>
      </c>
      <c r="C32" s="62" t="n"/>
      <c r="D32" s="62" t="n"/>
      <c r="E32" s="62" t="n"/>
      <c r="F32" s="62" t="n"/>
    </row>
    <row r="33" ht="21.75" customHeight="1" s="60">
      <c r="B33" s="78" t="inlineStr">
        <is>
          <t>1) 출처·품질·접근제약을 전용 요소군(출처/품질정보/보안정책·접근권한·감사)으로 갖춘 관계형 메타데이터지만, 모든 의미가 산문·로컬 코드에 머물고 IRI·규범 직렬화가 없어 AI-Ready 형식 성숙도는 낮다.
2) 가장 시급한 보정은 (a) 값단위·샘플링단위를 QUDT/UCUM에 바인딩해 단위 모호성을 제거하고, (b) 표 6-16 중복·표 6-109 '요소군=0'·'데이블설명' 오타 등 내부 일관성 결함을 정리하는 것이다.</t>
        </is>
      </c>
      <c r="C33" s="79" t="n"/>
      <c r="D33" s="79" t="n"/>
      <c r="E33" s="79" t="n"/>
      <c r="F33" s="79" t="n"/>
    </row>
    <row r="34" ht="21.75" customHeight="1" s="60">
      <c r="B34" s="8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pageMargins left="0.3" right="0.3" top="0.4" bottom="0.4" header="0.511811023622047" footer="0.511811023622047"/>
  <pageSetup orientation="landscape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workbookViewId="0">
      <selection activeCell="N15" sqref="N15"/>
    </sheetView>
  </sheetViews>
  <sheetFormatPr baseColWidth="8" defaultColWidth="8.6328125" defaultRowHeight="14.5"/>
  <cols>
    <col width="3" customWidth="1" style="60" min="1" max="1"/>
    <col width="20" customWidth="1" style="60" min="2" max="2"/>
    <col width="11" customWidth="1" style="60" min="3" max="3"/>
    <col width="24" customWidth="1" style="60" min="4" max="4"/>
    <col width="18" customWidth="1" style="60" min="5" max="5"/>
    <col width="16" customWidth="1" style="60" min="6" max="6"/>
    <col width="3" customWidth="1" style="60" min="7" max="7"/>
  </cols>
  <sheetData>
    <row r="2" ht="24" customHeight="1" s="60">
      <c r="B2" s="77" t="inlineStr">
        <is>
          <t>AI-Ready 표준 분석 카드</t>
        </is>
      </c>
    </row>
    <row r="4" ht="15" customHeight="1" s="60">
      <c r="B4" s="76" t="inlineStr">
        <is>
          <t>■ 식별 정보</t>
        </is>
      </c>
      <c r="C4" s="62" t="n"/>
      <c r="D4" s="62" t="n"/>
      <c r="E4" s="62" t="n"/>
      <c r="F4" s="62" t="n"/>
    </row>
    <row r="5" ht="15" customHeight="1" s="60">
      <c r="B5" s="10" t="inlineStr">
        <is>
          <t>표준번호</t>
        </is>
      </c>
      <c r="C5" s="85" t="inlineStr">
        <is>
          <t>TTAK.KO-10.1344-Part2</t>
        </is>
      </c>
      <c r="D5" s="84" t="n"/>
      <c r="E5" s="10" t="inlineStr">
        <is>
          <t>판수</t>
        </is>
      </c>
      <c r="F5" s="83" t="inlineStr">
        <is>
          <t>제1판</t>
        </is>
      </c>
    </row>
    <row r="6" ht="29.25" customHeight="1" s="60">
      <c r="B6" s="10" t="inlineStr">
        <is>
          <t>표준명</t>
        </is>
      </c>
      <c r="C6" s="83" t="inlineStr">
        <is>
          <t>유통‧활용 데이터 점검 방법 - 제2부: 비정형 데이터 품질지표 (Quality Measurement of Data for Service/Utilizing - Part 2: Unstructured Data Quality Model)</t>
        </is>
      </c>
      <c r="D6" s="84" t="n"/>
      <c r="E6" s="10" t="inlineStr">
        <is>
          <t>제정일</t>
        </is>
      </c>
      <c r="F6" s="85" t="inlineStr">
        <is>
          <t>2023.12.06</t>
        </is>
      </c>
    </row>
    <row r="7" ht="15" customHeight="1" s="60">
      <c r="B7" s="10" t="inlineStr">
        <is>
          <t>소관 PG</t>
        </is>
      </c>
      <c r="C7" s="85" t="inlineStr">
        <is>
          <t>PG606</t>
        </is>
      </c>
      <c r="D7" s="84" t="n"/>
      <c r="E7" s="10" t="inlineStr">
        <is>
          <t>최근 개정일</t>
        </is>
      </c>
      <c r="F7" s="85" t="inlineStr">
        <is>
          <t>-</t>
        </is>
      </c>
    </row>
    <row r="8" ht="15" customHeight="1" s="60">
      <c r="B8" s="10" t="inlineStr">
        <is>
          <t>도메인 분류</t>
        </is>
      </c>
      <c r="C8" s="83" t="inlineStr">
        <is>
          <t>데이터 품질점검 / 품질지표·점검방법(절차형)</t>
        </is>
      </c>
      <c r="D8" s="84" t="n"/>
      <c r="E8" s="10" t="inlineStr">
        <is>
          <t>분석 담당자</t>
        </is>
      </c>
      <c r="F8" s="85" t="inlineStr">
        <is>
          <t>(Tier2)</t>
        </is>
      </c>
    </row>
    <row r="10" ht="16.5" customHeight="1" s="60">
      <c r="B10" s="82" t="inlineStr">
        <is>
          <t>■ A축 — 품질·정합성 결함 점검</t>
        </is>
      </c>
      <c r="C10" s="62" t="n"/>
      <c r="D10" s="62" t="n"/>
      <c r="E10" s="62" t="n"/>
      <c r="F10" s="62" t="n"/>
    </row>
    <row r="11" ht="15" customHeight="1" s="60">
      <c r="B11" s="4" t="inlineStr">
        <is>
          <t>결함 유형</t>
        </is>
      </c>
      <c r="C11" s="2" t="inlineStr">
        <is>
          <t>발견</t>
        </is>
      </c>
      <c r="D11" s="71" t="inlineStr">
        <is>
          <t>구체 사례</t>
        </is>
      </c>
      <c r="E11" s="62" t="n"/>
      <c r="F11" s="2" t="inlineStr">
        <is>
          <t>자동검사</t>
        </is>
      </c>
    </row>
    <row r="12" ht="57.75" customHeight="1" s="60">
      <c r="B12" s="3" t="inlineStr">
        <is>
          <t>데이터 타입 정의 오류</t>
        </is>
      </c>
      <c r="C12" s="13" t="inlineStr">
        <is>
          <t>N/A</t>
        </is>
      </c>
      <c r="D12" s="75" t="inlineStr">
        <is>
          <t>이 표준은 XML Schema 등 타입 정의를 제공하지 않는다. 7.2 b) 데이터 항목정의서에 메타데이터의 '데이터 타입, 길이, 값의 Null여부'를 작성하라는 절차적 요구만 있을 뿐, 구체적 타입 정의표/스키마가 없어 타입 정의 오류 유형 자체가 비해당이다.</t>
        </is>
      </c>
      <c r="E12" s="62" t="n"/>
      <c r="F12" s="14" t="inlineStr">
        <is>
          <t>-</t>
        </is>
      </c>
    </row>
    <row r="13" ht="57.75" customHeight="1" s="60">
      <c r="B13" s="3" t="inlineStr">
        <is>
          <t>단위 표기 모호성</t>
        </is>
      </c>
      <c r="C13" s="13" t="inlineStr">
        <is>
          <t>N</t>
        </is>
      </c>
      <c r="D13" s="75" t="inlineStr">
        <is>
          <t>3.8 컬러심도(비트), 3.11 프레임 레이트(프레임/초), 7.4.6 사운드 주파수/재생시간 등 측정 단위가 등장하나 정의/측정산식에서 일관 서술되며 한 항목에 복수 단위가 혼재되지 않는다. 표시용 코드뿐인 모호한 단위 표기는 발견되지 않는다.</t>
        </is>
      </c>
      <c r="E13" s="62" t="n"/>
      <c r="F13" s="14" t="inlineStr">
        <is>
          <t>-</t>
        </is>
      </c>
    </row>
    <row r="14" ht="57.75" customHeight="1" s="60">
      <c r="B14" s="3" t="inlineStr">
        <is>
          <t>인용/준용표준 분류 오류</t>
        </is>
      </c>
      <c r="C14" s="13" t="inlineStr">
        <is>
          <t>Y</t>
        </is>
      </c>
      <c r="D14" s="75" t="inlineStr">
        <is>
          <t>2 인용 표준 및 서문 3은 '해당 사항 없음'으로 표기하나, 6.3은 비정형데이터 품질지표를 한국데이터산업진흥원 '데이터 품질평가 종합안내서'의 비정형데이터 품질평가지표(7가지 대분류별 13가지 세부 분류지표)를 기준으로 한다고 명시해 규범적으로 준용한다. 해당 안내서는 부록 I-4 참고문헌에만 두어 준용표준 분류가 누락되었다.</t>
        </is>
      </c>
      <c r="E14" s="62" t="n"/>
      <c r="F14" s="14" t="inlineStr">
        <is>
          <t>부분</t>
        </is>
      </c>
    </row>
    <row r="15" ht="57.75" customHeight="1" s="60">
      <c r="B15" s="3" t="inlineStr">
        <is>
          <t>코드/enum 정의 오류</t>
        </is>
      </c>
      <c r="C15" s="13" t="inlineStr">
        <is>
          <t>N/A</t>
        </is>
      </c>
      <c r="D15" s="75" t="inlineStr">
        <is>
          <t>본문에 코드표/enum 정의가 없다. 7.2 c) 코드정의서는 점검 대상자가 작성하는 산출물 절차로만 언급되고, 표준 자체가 정의하는 코드값 집합이 없어 코드/enum 정의 오류 유형이 비해당이다.</t>
        </is>
      </c>
      <c r="E15" s="62" t="n"/>
      <c r="F15" s="14" t="inlineStr">
        <is>
          <t>-</t>
        </is>
      </c>
    </row>
    <row r="16" ht="57.75" customHeight="1" s="60">
      <c r="B16" s="3" t="inlineStr">
        <is>
          <t>오타·표기 불일치</t>
        </is>
      </c>
      <c r="C16" s="13" t="inlineStr">
        <is>
          <t>Y</t>
        </is>
      </c>
      <c r="D16" s="75" t="inlineStr">
        <is>
          <t>&lt;표 5-1&gt;~&lt;표 5-4&gt; 메타데이터 확장자가 모두 'XLXS'로 표기되어 엑셀 확장자 'XLSX'의 오타가 반복된다. 7.4.6 &lt;표 7-7&gt; '사운드dml 주파수'(p.22)는 '사운드의'의 한영 혼입 오타다.</t>
        </is>
      </c>
      <c r="E16" s="62" t="n"/>
      <c r="F16" s="14" t="inlineStr">
        <is>
          <t>부분</t>
        </is>
      </c>
    </row>
    <row r="17" ht="57.75" customHeight="1" s="60">
      <c r="B17" s="3" t="inlineStr">
        <is>
          <t>내부 일관성</t>
        </is>
      </c>
      <c r="C17" s="13" t="inlineStr">
        <is>
          <t>Y</t>
        </is>
      </c>
      <c r="D17" s="75" t="inlineStr">
        <is>
          <t>절 번호 7.4.5가 '텍스트 객체 품질점검'(p.20)과 'GIS 객체 선택 품질점검 지표'(p.24)에 중복 부여되었고, 사이의 사운드는 7.4.6이어서 GIS는 7.4.7이어야 한다. 또 6.3은 KDATA 지표를 '7가지 대분류별 13가지'로 인용하나 본 표준은 &lt;표 6-3&gt; 6개 대분류/&lt;표 6-4&gt; 10개 세부지표로 재구성하여 대분류/세부 개수가 본문 서술 간 일치하지 않는다.</t>
        </is>
      </c>
      <c r="E17" s="62" t="n"/>
      <c r="F17" s="14" t="inlineStr">
        <is>
          <t>부분</t>
        </is>
      </c>
    </row>
    <row r="18" ht="57.75" customHeight="1" s="60">
      <c r="B18" s="3" t="inlineStr">
        <is>
          <t>기타</t>
        </is>
      </c>
      <c r="C18" s="13" t="inlineStr">
        <is>
          <t>N</t>
        </is>
      </c>
      <c r="D18" s="75" t="inlineStr">
        <is>
          <t>측정산식(7.4)과 정합성율 계산식(&lt;표 7-10&gt;)은 오류율=오류건수/전체건수 형태로 일관되며 별도의 추가 결함은 식별되지 않는다.</t>
        </is>
      </c>
      <c r="E18" s="62" t="n"/>
      <c r="F18" s="14" t="inlineStr">
        <is>
          <t>-</t>
        </is>
      </c>
    </row>
    <row r="19" ht="15" customHeight="1" s="60">
      <c r="B19" s="15" t="inlineStr">
        <is>
          <t>결함 발견 수 (Y)</t>
        </is>
      </c>
      <c r="C19" s="86">
        <f>COUNTIF(C12:C18,"Y")</f>
        <v/>
      </c>
      <c r="D19" s="62" t="n"/>
      <c r="E19" s="62" t="n"/>
      <c r="F19" s="62" t="n"/>
    </row>
    <row r="21" ht="16.5" customHeight="1" s="60">
      <c r="B21" s="82" t="inlineStr">
        <is>
          <t>■ B축 — AI-Ready 7개 구성요소 성숙도</t>
        </is>
      </c>
      <c r="C21" s="62" t="n"/>
      <c r="D21" s="62" t="n"/>
      <c r="E21" s="62" t="n"/>
      <c r="F21" s="62" t="n"/>
    </row>
    <row r="22" ht="15" customHeight="1" s="60">
      <c r="B22" s="4" t="inlineStr">
        <is>
          <t>구성요소</t>
        </is>
      </c>
      <c r="C22" s="2" t="inlineStr">
        <is>
          <t>등급(0/1/2)</t>
        </is>
      </c>
      <c r="D22" s="4" t="inlineStr">
        <is>
          <t>근거</t>
        </is>
      </c>
      <c r="E22" s="71" t="inlineStr">
        <is>
          <t>충족 위한 매핑 대상</t>
        </is>
      </c>
      <c r="F22" s="62" t="n"/>
    </row>
    <row r="23" ht="61.5" customHeight="1" s="60">
      <c r="B23" s="3" t="inlineStr">
        <is>
          <t>시맨틱</t>
        </is>
      </c>
      <c r="C23" s="18" t="n">
        <v>0</v>
      </c>
      <c r="D23" s="19" t="inlineStr">
        <is>
          <t>비정형 품질지표 의미가 산문·로컬, 전역 어휘 없음.</t>
        </is>
      </c>
      <c r="E23" s="74" t="inlineStr">
        <is>
          <t>DQV; skos</t>
        </is>
      </c>
      <c r="F23" s="62" t="n"/>
    </row>
    <row r="24" ht="61.5" customHeight="1" s="60">
      <c r="B24" s="3" t="inlineStr">
        <is>
          <t>데이터 모델</t>
        </is>
      </c>
      <c r="C24" s="18" t="n">
        <v>0</v>
      </c>
      <c r="D24" s="19" t="inlineStr">
        <is>
          <t>품질지표·측정 산식 중심으로 데이터 값 유형·제약 정의 자체가 없음.</t>
        </is>
      </c>
      <c r="E24" s="74" t="inlineStr">
        <is>
          <t>값 스키마 도입</t>
        </is>
      </c>
      <c r="F24" s="62" t="n"/>
    </row>
    <row r="25" ht="61.5" customHeight="1" s="60">
      <c r="B25" s="3" t="inlineStr">
        <is>
          <t>신태틱</t>
        </is>
      </c>
      <c r="C25" s="18" t="n">
        <v>0</v>
      </c>
      <c r="D25" s="19" t="inlineStr">
        <is>
          <t>메타데이터 확장자로 XLSX/CSV/TXT/JSON/XML(&lt;표 5-1&gt;~5-5)을 '준비 파일 형식'으로 열거할 뿐 직렬화 규범이 없다. JSON-LD/RDF 등 규범 직렬화 정의가 없다.</t>
        </is>
      </c>
      <c r="E25" s="74" t="inlineStr">
        <is>
          <t>JSON-LD</t>
        </is>
      </c>
      <c r="F25" s="62" t="n"/>
    </row>
    <row r="26" ht="61.5" customHeight="1" s="60">
      <c r="B26" s="3" t="inlineStr">
        <is>
          <t>운영 시맨틱</t>
        </is>
      </c>
      <c r="C26" s="18" t="inlineStr">
        <is>
          <t>N/A</t>
        </is>
      </c>
      <c r="D26" s="19" t="inlineStr">
        <is>
          <t>일반 비정형 데이터 품질지표 — 특정 ML 사용 정의 비대상(비해당).</t>
        </is>
      </c>
      <c r="E26" s="74" t="inlineStr">
        <is>
          <t>—</t>
        </is>
      </c>
      <c r="F26" s="62" t="n"/>
    </row>
    <row r="27" ht="61.5" customHeight="1" s="60">
      <c r="B27" s="3" t="inlineStr">
        <is>
          <t>출처/계보</t>
        </is>
      </c>
      <c r="C27" s="18" t="n">
        <v>0</v>
      </c>
      <c r="D27" s="17" t="inlineStr">
        <is>
          <t>7.1~7.2에서 데이터 수집기간/제공방식(File/API/FTP), 7.4.4 텍스트 '업데이트 날짜' 정도가 언급되나 데이터 출처/생성 계보를 기록하는 필드 체계가 없다. PROV-O 류 계보 형식화가 없다.</t>
        </is>
      </c>
      <c r="E27" s="74" t="inlineStr">
        <is>
          <t>PROV-O</t>
        </is>
      </c>
      <c r="F27" s="62" t="n"/>
    </row>
    <row r="28" ht="61.5" customHeight="1" s="60">
      <c r="B28" s="3" t="inlineStr">
        <is>
          <t>품질 프로파일</t>
        </is>
      </c>
      <c r="C28" s="16" t="n">
        <v>1</v>
      </c>
      <c r="D28" s="19" t="inlineStr">
        <is>
          <t>&lt;표 6-3&gt;(6개 대분류), &lt;표 6-4&gt;(10개 세부지표), 7.4 측정산식으로 품질 차원/지표/측정식이 체계적으로 표현되나, DQV 등 표준 품질 어휘(dqv:Dimension/Metric/QualityMeasurement)로 형식화되지 않은 표/산문이다. 형식화는 없으나 품질 표기가 풍부하므로 1.</t>
        </is>
      </c>
      <c r="E28" s="74" t="inlineStr">
        <is>
          <t>DQV</t>
        </is>
      </c>
      <c r="F28" s="62" t="n"/>
    </row>
    <row r="29" ht="61.5" customHeight="1" s="60">
      <c r="B29" s="3" t="inlineStr">
        <is>
          <t>접근/사용 제약</t>
        </is>
      </c>
      <c r="C29" s="18" t="n">
        <v>0</v>
      </c>
      <c r="D29" s="19" t="inlineStr">
        <is>
          <t>표지 저작권 고지와 부록 I-1 지식재산권 확약서(해당 사항 없음)만 있고, 데이터 수준의 라이선스/접근권 메타데이터(DCAT/ODRL)가 없다. 7.4.2 개인정보익명성은 비식별 점검 지표일 뿐 접근 제약 메타데이터가 아니다.</t>
        </is>
      </c>
      <c r="E29" s="74" t="inlineStr">
        <is>
          <t>DCAT v3, ODRL</t>
        </is>
      </c>
      <c r="F29" s="62" t="n"/>
    </row>
    <row r="30" ht="15" customHeight="1" s="60">
      <c r="B30" s="15" t="inlineStr">
        <is>
          <t>성숙도 점수</t>
        </is>
      </c>
      <c r="C30" s="81">
        <f>IF(COUNT(C23:C29)=0,"",SUM(C23:C29)/(COUNT(C23:C29)*2))</f>
        <v/>
      </c>
      <c r="D30" s="62" t="n"/>
      <c r="E30" s="62" t="n"/>
      <c r="F30" s="62" t="n"/>
    </row>
    <row r="32" ht="16.5" customHeight="1" s="60">
      <c r="B32" s="76" t="inlineStr">
        <is>
          <t>■ 종합 — 가장 시급한 개선 1~2개</t>
        </is>
      </c>
      <c r="C32" s="62" t="n"/>
      <c r="D32" s="62" t="n"/>
      <c r="E32" s="62" t="n"/>
      <c r="F32" s="62" t="n"/>
    </row>
    <row r="33" ht="21.75" customHeight="1" s="60">
      <c r="B33" s="78" t="inlineStr">
        <is>
          <t>1) 인용 표준 '해당 사항 없음'(2장)과 달리 6.3에서 KDATA '데이터 품질평가 종합안내서'를 규범적으로 준용하므로 준용표준으로 명시해야 한다.
2) 6개 대분류/10개 세부지표(&lt;표 6-3&gt;/&lt;표 6-4&gt;)와 측정산식이 산문/표로만 표현되어 DQV 등 품질 어휘로 형식화하면 AI-Ready 품질 프로파일로 전환 가능하다.</t>
        </is>
      </c>
      <c r="C33" s="79" t="n"/>
      <c r="D33" s="79" t="n"/>
      <c r="E33" s="79" t="n"/>
      <c r="F33" s="79" t="n"/>
    </row>
    <row r="34" ht="21.75" customHeight="1" s="60">
      <c r="B34" s="8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pageMargins left="0.3" right="0.3" top="0.4" bottom="0.4" header="0.511811023622047" footer="0.511811023622047"/>
  <pageSetup orientation="landscape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workbookViewId="0">
      <selection activeCell="A1" sqref="A1"/>
    </sheetView>
  </sheetViews>
  <sheetFormatPr baseColWidth="8" defaultColWidth="8.6328125" defaultRowHeight="14.5"/>
  <cols>
    <col width="3" customWidth="1" style="60" min="1" max="1"/>
    <col width="20" customWidth="1" style="60" min="2" max="2"/>
    <col width="11" customWidth="1" style="60" min="3" max="3"/>
    <col width="24" customWidth="1" style="60" min="4" max="4"/>
    <col width="18" customWidth="1" style="60" min="5" max="5"/>
    <col width="16" customWidth="1" style="60" min="6" max="6"/>
    <col width="3" customWidth="1" style="60" min="7" max="7"/>
  </cols>
  <sheetData>
    <row r="2" ht="24" customHeight="1" s="60">
      <c r="B2" s="77" t="inlineStr">
        <is>
          <t>AI-Ready 표준 분석 카드</t>
        </is>
      </c>
    </row>
    <row r="4" ht="15" customHeight="1" s="60">
      <c r="B4" s="76" t="inlineStr">
        <is>
          <t>■ 식별 정보</t>
        </is>
      </c>
      <c r="C4" s="62" t="n"/>
      <c r="D4" s="62" t="n"/>
      <c r="E4" s="62" t="n"/>
      <c r="F4" s="62" t="n"/>
    </row>
    <row r="5" ht="15" customHeight="1" s="60">
      <c r="B5" s="10" t="inlineStr">
        <is>
          <t>표준번호</t>
        </is>
      </c>
      <c r="C5" s="85" t="inlineStr">
        <is>
          <t>TTAK.KO-10.1284</t>
        </is>
      </c>
      <c r="D5" s="84" t="n"/>
      <c r="E5" s="10" t="inlineStr">
        <is>
          <t>판수</t>
        </is>
      </c>
      <c r="F5" s="83" t="inlineStr">
        <is>
          <t>제1판</t>
        </is>
      </c>
    </row>
    <row r="6" ht="29.25" customHeight="1" s="60">
      <c r="B6" s="10" t="inlineStr">
        <is>
          <t>표준명</t>
        </is>
      </c>
      <c r="C6" s="83" t="inlineStr">
        <is>
          <t>임산공학 연구데이터 관리 및 공유를 위한 메타데이터</t>
        </is>
      </c>
      <c r="D6" s="84" t="n"/>
      <c r="E6" s="10" t="inlineStr">
        <is>
          <t>제정일</t>
        </is>
      </c>
      <c r="F6" s="85" t="inlineStr">
        <is>
          <t>2021.06.30.(2025확인)</t>
        </is>
      </c>
    </row>
    <row r="7" ht="15" customHeight="1" s="60">
      <c r="B7" s="10" t="inlineStr">
        <is>
          <t>소관 PG</t>
        </is>
      </c>
      <c r="C7" s="85" t="inlineStr">
        <is>
          <t>PG606</t>
        </is>
      </c>
      <c r="D7" s="84" t="n"/>
      <c r="E7" s="10" t="inlineStr">
        <is>
          <t>최근 개정일</t>
        </is>
      </c>
      <c r="F7" s="85" t="inlineStr">
        <is>
          <t>-</t>
        </is>
      </c>
    </row>
    <row r="8" ht="15" customHeight="1" s="60">
      <c r="B8" s="10" t="inlineStr">
        <is>
          <t>도메인 분류</t>
        </is>
      </c>
      <c r="C8" s="83" t="inlineStr">
        <is>
          <t>임산공학 연구데이터 / 메타데이터(DataCite·DCAT)</t>
        </is>
      </c>
      <c r="D8" s="84" t="n"/>
      <c r="E8" s="10" t="inlineStr">
        <is>
          <t>분석 담당자</t>
        </is>
      </c>
      <c r="F8" s="85" t="inlineStr">
        <is>
          <t>(추가분석)</t>
        </is>
      </c>
    </row>
    <row r="10" ht="16.5" customHeight="1" s="60">
      <c r="B10" s="82" t="inlineStr">
        <is>
          <t>■ A축 — 품질·정합성 결함 점검</t>
        </is>
      </c>
      <c r="C10" s="62" t="n"/>
      <c r="D10" s="62" t="n"/>
      <c r="E10" s="62" t="n"/>
      <c r="F10" s="62" t="n"/>
    </row>
    <row r="11" ht="15" customHeight="1" s="60">
      <c r="B11" s="4" t="inlineStr">
        <is>
          <t>결함 유형</t>
        </is>
      </c>
      <c r="C11" s="2" t="inlineStr">
        <is>
          <t>발견</t>
        </is>
      </c>
      <c r="D11" s="71" t="inlineStr">
        <is>
          <t>구체 사례</t>
        </is>
      </c>
      <c r="E11" s="62" t="n"/>
      <c r="F11" s="2" t="inlineStr">
        <is>
          <t>자동검사</t>
        </is>
      </c>
    </row>
    <row r="12" ht="57.75" customHeight="1" s="60">
      <c r="B12" s="3" t="inlineStr">
        <is>
          <t>데이터 타입 정의 오류</t>
        </is>
      </c>
      <c r="C12" s="13" t="inlineStr">
        <is>
          <t>N/A</t>
        </is>
      </c>
      <c r="D12" s="75" t="inlineStr">
        <is>
          <t>서지·기술 메타데이터로 XML Schema 수치형 타입 정의가 없어 1530식 타입 오류가 성립하지 않음.</t>
        </is>
      </c>
      <c r="E12" s="62" t="n"/>
      <c r="F12" s="14" t="inlineStr">
        <is>
          <t>—</t>
        </is>
      </c>
    </row>
    <row r="13" ht="57.75" customHeight="1" s="60">
      <c r="B13" s="3" t="inlineStr">
        <is>
          <t>단위 표기 모호성</t>
        </is>
      </c>
      <c r="C13" s="13" t="inlineStr">
        <is>
          <t>N/A</t>
        </is>
      </c>
      <c r="D13" s="75" t="inlineStr">
        <is>
          <t>측정값·물리 단위를 다루지 않는 기술 메타데이터로 단위 표기 대상이 없음.</t>
        </is>
      </c>
      <c r="E13" s="62" t="n"/>
      <c r="F13" s="14" t="inlineStr">
        <is>
          <t>—</t>
        </is>
      </c>
    </row>
    <row r="14" ht="57.75" customHeight="1" s="60">
      <c r="B14" s="3" t="inlineStr">
        <is>
          <t>인용/준용표준 분류 오류</t>
        </is>
      </c>
      <c r="C14" s="13" t="inlineStr">
        <is>
          <t>Y</t>
        </is>
      </c>
      <c r="D14" s="75" t="inlineStr">
        <is>
          <t>§2 인용표준에 TTAK.KO-10.0976만 등재되나, 적용범위 표1-1·전 요소가 DataCite·DCMI·INSPIRE·NEFIS·ISO 19115를 규범 참조(미등재).</t>
        </is>
      </c>
      <c r="E14" s="62" t="n"/>
      <c r="F14" s="14" t="inlineStr">
        <is>
          <t>부분</t>
        </is>
      </c>
    </row>
    <row r="15" ht="57.75" customHeight="1" s="60">
      <c r="B15" s="3" t="inlineStr">
        <is>
          <t>코드/enum 정의 오류</t>
        </is>
      </c>
      <c r="C15" s="13" t="inlineStr">
        <is>
          <t>N</t>
        </is>
      </c>
      <c r="D15" s="75" t="inlineStr">
        <is>
          <t>Degree(True/False/Null) 등 제한값이 정의되며 검토 범위에서 정의 오류는 발견되지 않음.</t>
        </is>
      </c>
      <c r="E15" s="62" t="n"/>
      <c r="F15" s="14" t="inlineStr">
        <is>
          <t>—</t>
        </is>
      </c>
    </row>
    <row r="16" ht="57.75" customHeight="1" s="60">
      <c r="B16" s="3" t="inlineStr">
        <is>
          <t>오타·표기 불일치</t>
        </is>
      </c>
      <c r="C16" s="13" t="inlineStr">
        <is>
          <t>N</t>
        </is>
      </c>
      <c r="D16" s="75" t="inlineStr">
        <is>
          <t>검토 범위에서 유의미한 오탈자는 발견되지 않음.</t>
        </is>
      </c>
      <c r="E16" s="62" t="n"/>
      <c r="F16" s="14" t="inlineStr">
        <is>
          <t>—</t>
        </is>
      </c>
    </row>
    <row r="17" ht="57.75" customHeight="1" s="60">
      <c r="B17" s="3" t="inlineStr">
        <is>
          <t>내부 일관성</t>
        </is>
      </c>
      <c r="C17" s="13" t="inlineStr">
        <is>
          <t>Y</t>
        </is>
      </c>
      <c r="D17" s="75" t="inlineStr">
        <is>
          <t>5.3 본문은 '표 5-1'을 참조하나 실제 캡션은 '&lt;표 4-1&gt;'로 번호 불일치. 부록Ⅱ DCAT 매핑에 PublicationYear·Contributor·Version 등 공란.</t>
        </is>
      </c>
      <c r="E17" s="62" t="n"/>
      <c r="F17" s="14" t="inlineStr">
        <is>
          <t>부분</t>
        </is>
      </c>
    </row>
    <row r="18" ht="57.75" customHeight="1" s="60">
      <c r="B18" s="3" t="inlineStr">
        <is>
          <t>기타</t>
        </is>
      </c>
      <c r="C18" s="13" t="inlineStr">
        <is>
          <t>N</t>
        </is>
      </c>
      <c r="D18" s="75" t="inlineStr">
        <is>
          <t>위 분류 외 추가 결함은 발견되지 않음.</t>
        </is>
      </c>
      <c r="E18" s="62" t="n"/>
      <c r="F18" s="14" t="inlineStr">
        <is>
          <t>—</t>
        </is>
      </c>
    </row>
    <row r="19" ht="15" customHeight="1" s="60">
      <c r="B19" s="15" t="inlineStr">
        <is>
          <t>결함 발견 수 (Y)</t>
        </is>
      </c>
      <c r="C19" s="86">
        <f>COUNTIF(C12:C18,"Y")</f>
        <v/>
      </c>
      <c r="D19" s="62" t="n"/>
      <c r="E19" s="62" t="n"/>
      <c r="F19" s="62" t="n"/>
    </row>
    <row r="21" ht="16.5" customHeight="1" s="60">
      <c r="B21" s="82" t="inlineStr">
        <is>
          <t>■ B축 — AI-Ready 7개 구성요소 성숙도</t>
        </is>
      </c>
      <c r="C21" s="62" t="n"/>
      <c r="D21" s="62" t="n"/>
      <c r="E21" s="62" t="n"/>
      <c r="F21" s="62" t="n"/>
    </row>
    <row r="22" ht="15" customHeight="1" s="60">
      <c r="B22" s="4" t="inlineStr">
        <is>
          <t>구성요소</t>
        </is>
      </c>
      <c r="C22" s="2" t="inlineStr">
        <is>
          <t>등급(0/1/2)</t>
        </is>
      </c>
      <c r="D22" s="4" t="inlineStr">
        <is>
          <t>근거</t>
        </is>
      </c>
      <c r="E22" s="71" t="inlineStr">
        <is>
          <t>충족 위한 매핑 대상</t>
        </is>
      </c>
      <c r="F22" s="62" t="n"/>
    </row>
    <row r="23" ht="61.5" customHeight="1" s="60">
      <c r="B23" s="3" t="inlineStr">
        <is>
          <t>시맨틱</t>
        </is>
      </c>
      <c r="C23" s="42" t="n">
        <v>1</v>
      </c>
      <c r="D23" s="17" t="inlineStr">
        <is>
          <t>요소가 DCMI·DataCite에 정렬되고 부록Ⅱ에 DCAT 매핑 테이블을 이미 보유(0976보다 앞섬). 다만 '관련 출처'·표에 머물러 접두어 IRI 바인딩·@context 없음.</t>
        </is>
      </c>
      <c r="E23" s="74" t="inlineStr">
        <is>
          <t>DCAT 매핑을 @context로 승격</t>
        </is>
      </c>
      <c r="F23" s="62" t="n"/>
    </row>
    <row r="24" ht="61.5" customHeight="1" s="60">
      <c r="B24" s="3" t="inlineStr">
        <is>
          <t>데이터 모델</t>
        </is>
      </c>
      <c r="C24" s="42" t="n">
        <v>1</v>
      </c>
      <c r="D24" s="17" t="inlineStr">
        <is>
          <t>요소 유형·필수여부·출현 횟수(1/0-1/0-N)를 표로 정리하나 값 타입 검증 스키마 없음.</t>
        </is>
      </c>
      <c r="E24" s="74" t="inlineStr">
        <is>
          <t>SHACL/JSON Schema</t>
        </is>
      </c>
      <c r="F24" s="62" t="n"/>
    </row>
    <row r="25" ht="61.5" customHeight="1" s="60">
      <c r="B25" s="3" t="inlineStr">
        <is>
          <t>신태틱</t>
        </is>
      </c>
      <c r="C25" s="18" t="n">
        <v>1</v>
      </c>
      <c r="D25" s="19" t="inlineStr">
        <is>
          <t>DCAT 매핑이 RDF 직렬화 경로를 가리키나 규범 직렬화(JSON-LD)·예시 미정.</t>
        </is>
      </c>
      <c r="E25" s="74" t="inlineStr">
        <is>
          <t>JSON-LD @context</t>
        </is>
      </c>
      <c r="F25" s="62" t="n"/>
    </row>
    <row r="26" ht="61.5" customHeight="1" s="60">
      <c r="B26" s="3" t="inlineStr">
        <is>
          <t>운영 시맨틱</t>
        </is>
      </c>
      <c r="C26" s="18" t="inlineStr">
        <is>
          <t>N/A</t>
        </is>
      </c>
      <c r="D26" s="19" t="inlineStr">
        <is>
          <t>연구데이터 기술 메타데이터로 ML split·feature/label을 정의하는 표준이 아님.</t>
        </is>
      </c>
      <c r="E26" s="74" t="inlineStr">
        <is>
          <t>(비해당) ML 시 Croissant</t>
        </is>
      </c>
      <c r="F26" s="62" t="n"/>
    </row>
    <row r="27" ht="61.5" customHeight="1" s="60">
      <c r="B27" s="3" t="inlineStr">
        <is>
          <t>출처/계보</t>
        </is>
      </c>
      <c r="C27" s="42" t="n">
        <v>1</v>
      </c>
      <c r="D27" s="17" t="inlineStr">
        <is>
          <t>Date(Created/Collected/Submitted 등)·Publisher·Contributor·Funding Reference·Metadata on metadata 등 출처 필드 풍부하나 계보로 미형식.</t>
        </is>
      </c>
      <c r="E27" s="74" t="inlineStr">
        <is>
          <t>PROV-O</t>
        </is>
      </c>
      <c r="F27" s="62" t="n"/>
    </row>
    <row r="28" ht="61.5" customHeight="1" s="60">
      <c r="B28" s="3" t="inlineStr">
        <is>
          <t>품질 프로파일</t>
        </is>
      </c>
      <c r="C28" s="18" t="n">
        <v>0</v>
      </c>
      <c r="D28" s="17" t="inlineStr">
        <is>
          <t>데이터 품질(정확도·결측 등) 요소·어휘 부재. Degree는 표준 적합성일 뿐.</t>
        </is>
      </c>
      <c r="E28" s="74" t="inlineStr">
        <is>
          <t>DQV</t>
        </is>
      </c>
      <c r="F28" s="62" t="n"/>
    </row>
    <row r="29" ht="61.5" customHeight="1" s="60">
      <c r="B29" s="3" t="inlineStr">
        <is>
          <t>접근/사용 제약</t>
        </is>
      </c>
      <c r="C29" s="42" t="n">
        <v>1</v>
      </c>
      <c r="D29" s="19" t="inlineStr">
        <is>
          <t>Access rights(CVP)·Rights·Limitations on public access(CC 라이선스) 있으나 라이선스가 자유 텍스트.</t>
        </is>
      </c>
      <c r="E29" s="74" t="inlineStr">
        <is>
          <t>dct:license URI·ODRL</t>
        </is>
      </c>
      <c r="F29" s="62" t="n"/>
    </row>
    <row r="30" ht="15" customHeight="1" s="60">
      <c r="B30" s="15" t="inlineStr">
        <is>
          <t>성숙도 점수</t>
        </is>
      </c>
      <c r="C30" s="81">
        <f>IF(COUNT(C23:C29)=0,"",SUM(C23:C29)/(COUNT(C23:C29)*2))</f>
        <v/>
      </c>
      <c r="D30" s="62" t="n"/>
      <c r="E30" s="62" t="n"/>
      <c r="F30" s="62" t="n"/>
    </row>
    <row r="32" ht="16.5" customHeight="1" s="60">
      <c r="B32" s="76" t="inlineStr">
        <is>
          <t>■ 종합 — 가장 시급한 개선 1~2개</t>
        </is>
      </c>
      <c r="C32" s="62" t="n"/>
      <c r="D32" s="62" t="n"/>
      <c r="E32" s="62" t="n"/>
      <c r="F32" s="62" t="n"/>
    </row>
    <row r="33" ht="21.75" customHeight="1" s="60">
      <c r="B33" s="78" t="inlineStr">
        <is>
          <t>1) 시맨틱 — 부록Ⅱ DCAT 매핑을 @context로 승격(공란 보완)
2) 품질 — 데이터셋 품질을 DQV로 신설</t>
        </is>
      </c>
      <c r="C33" s="79" t="n"/>
      <c r="D33" s="79" t="n"/>
      <c r="E33" s="79" t="n"/>
      <c r="F33" s="79" t="n"/>
    </row>
    <row r="34" ht="21.75" customHeight="1" s="60">
      <c r="B34" s="8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pageMargins left="0.3" right="0.3" top="0.4" bottom="0.4" header="0.511811023622047" footer="0.511811023622047"/>
  <pageSetup orientation="landscape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workbookViewId="0">
      <selection activeCell="A1" sqref="A1"/>
    </sheetView>
  </sheetViews>
  <sheetFormatPr baseColWidth="8" defaultColWidth="8.6328125" defaultRowHeight="14.5"/>
  <cols>
    <col width="3" customWidth="1" style="60" min="1" max="1"/>
    <col width="20" customWidth="1" style="60" min="2" max="2"/>
    <col width="11" customWidth="1" style="60" min="3" max="3"/>
    <col width="24" customWidth="1" style="60" min="4" max="4"/>
    <col width="18" customWidth="1" style="60" min="5" max="5"/>
    <col width="16" customWidth="1" style="60" min="6" max="6"/>
    <col width="3" customWidth="1" style="60" min="7" max="7"/>
  </cols>
  <sheetData>
    <row r="2" ht="24" customHeight="1" s="60">
      <c r="B2" s="77" t="inlineStr">
        <is>
          <t>AI-Ready 표준 분석 카드</t>
        </is>
      </c>
    </row>
    <row r="4" ht="15" customHeight="1" s="60">
      <c r="B4" s="76" t="inlineStr">
        <is>
          <t>■ 식별 정보</t>
        </is>
      </c>
      <c r="C4" s="62" t="n"/>
      <c r="D4" s="62" t="n"/>
      <c r="E4" s="62" t="n"/>
      <c r="F4" s="62" t="n"/>
    </row>
    <row r="5" ht="15" customHeight="1" s="60">
      <c r="B5" s="10" t="inlineStr">
        <is>
          <t>표준번호</t>
        </is>
      </c>
      <c r="C5" s="85" t="inlineStr">
        <is>
          <t>TTAK.KO-10.1465</t>
        </is>
      </c>
      <c r="D5" s="84" t="n"/>
      <c r="E5" s="10" t="inlineStr">
        <is>
          <t>판수</t>
        </is>
      </c>
      <c r="F5" s="83" t="inlineStr">
        <is>
          <t>제1판</t>
        </is>
      </c>
    </row>
    <row r="6" ht="29.25" customHeight="1" s="60">
      <c r="B6" s="10" t="inlineStr">
        <is>
          <t>표준명</t>
        </is>
      </c>
      <c r="C6" s="83" t="inlineStr">
        <is>
          <t>지식정보자원의 도표 공정사용 검증을 위한 메타데이터</t>
        </is>
      </c>
      <c r="D6" s="84" t="n"/>
      <c r="E6" s="10" t="inlineStr">
        <is>
          <t>제정일</t>
        </is>
      </c>
      <c r="F6" s="85" t="inlineStr">
        <is>
          <t>2023.12.06.</t>
        </is>
      </c>
    </row>
    <row r="7" ht="15" customHeight="1" s="60">
      <c r="B7" s="10" t="inlineStr">
        <is>
          <t>소관 PG</t>
        </is>
      </c>
      <c r="C7" s="85" t="inlineStr">
        <is>
          <t>PG606</t>
        </is>
      </c>
      <c r="D7" s="84" t="n"/>
      <c r="E7" s="10" t="inlineStr">
        <is>
          <t>최근 개정일</t>
        </is>
      </c>
      <c r="F7" s="85" t="inlineStr">
        <is>
          <t>-</t>
        </is>
      </c>
    </row>
    <row r="8" ht="15" customHeight="1" s="60">
      <c r="B8" s="10" t="inlineStr">
        <is>
          <t>도메인 분류</t>
        </is>
      </c>
      <c r="C8" s="83" t="inlineStr">
        <is>
          <t>지식정보자원(논문·보고서·특허) / 메타데이터(DataCite·DCMI)</t>
        </is>
      </c>
      <c r="D8" s="84" t="n"/>
      <c r="E8" s="10" t="inlineStr">
        <is>
          <t>분석 담당자</t>
        </is>
      </c>
      <c r="F8" s="85" t="inlineStr">
        <is>
          <t>(추가분석)</t>
        </is>
      </c>
    </row>
    <row r="10" ht="16.5" customHeight="1" s="60">
      <c r="B10" s="82" t="inlineStr">
        <is>
          <t>■ A축 — 품질·정합성 결함 점검</t>
        </is>
      </c>
      <c r="C10" s="62" t="n"/>
      <c r="D10" s="62" t="n"/>
      <c r="E10" s="62" t="n"/>
      <c r="F10" s="62" t="n"/>
    </row>
    <row r="11" ht="15" customHeight="1" s="60">
      <c r="B11" s="4" t="inlineStr">
        <is>
          <t>결함 유형</t>
        </is>
      </c>
      <c r="C11" s="2" t="inlineStr">
        <is>
          <t>발견</t>
        </is>
      </c>
      <c r="D11" s="71" t="inlineStr">
        <is>
          <t>구체 사례</t>
        </is>
      </c>
      <c r="E11" s="62" t="n"/>
      <c r="F11" s="2" t="inlineStr">
        <is>
          <t>자동검사</t>
        </is>
      </c>
    </row>
    <row r="12" ht="57.75" customHeight="1" s="60">
      <c r="B12" s="3" t="inlineStr">
        <is>
          <t>데이터 타입 정의 오류</t>
        </is>
      </c>
      <c r="C12" s="13" t="inlineStr">
        <is>
          <t>N/A</t>
        </is>
      </c>
      <c r="D12" s="75" t="inlineStr">
        <is>
          <t>서지·기술 메타데이터로 수치형 타입 정의가 없음.</t>
        </is>
      </c>
      <c r="E12" s="62" t="n"/>
      <c r="F12" s="14" t="inlineStr">
        <is>
          <t>—</t>
        </is>
      </c>
    </row>
    <row r="13" ht="57.75" customHeight="1" s="60">
      <c r="B13" s="3" t="inlineStr">
        <is>
          <t>단위 표기 모호성</t>
        </is>
      </c>
      <c r="C13" s="13" t="inlineStr">
        <is>
          <t>N/A</t>
        </is>
      </c>
      <c r="D13" s="75" t="inlineStr">
        <is>
          <t>물리 단위 대상이 없음(Coverage의 pixel은 좌표 표기).</t>
        </is>
      </c>
      <c r="E13" s="62" t="n"/>
      <c r="F13" s="14" t="inlineStr">
        <is>
          <t>—</t>
        </is>
      </c>
    </row>
    <row r="14" ht="57.75" customHeight="1" s="60">
      <c r="B14" s="3" t="inlineStr">
        <is>
          <t>인용/준용표준 분류 오류</t>
        </is>
      </c>
      <c r="C14" s="13" t="inlineStr">
        <is>
          <t>Y</t>
        </is>
      </c>
      <c r="D14" s="75" t="inlineStr">
        <is>
          <t>§2·§3 '인용표준 해당없음'이나 서문2가 'TTAK.KO-10.0976·DataCite 4.3 참고 구성' 명시, 전 요소가 DCMI·DataCite·ODF(ChartAngle)를 규범 참조.</t>
        </is>
      </c>
      <c r="E14" s="62" t="n"/>
      <c r="F14" s="14" t="inlineStr">
        <is>
          <t>부분</t>
        </is>
      </c>
    </row>
    <row r="15" ht="57.75" customHeight="1" s="60">
      <c r="B15" s="3" t="inlineStr">
        <is>
          <t>코드/enum 정의 오류</t>
        </is>
      </c>
      <c r="C15" s="13" t="inlineStr">
        <is>
          <t>N</t>
        </is>
      </c>
      <c r="D15" s="75" t="inlineStr">
        <is>
          <t>부록Ⅱ 통제어(IdentifierType)로 값 목록 정의, 정의 오류 없음.</t>
        </is>
      </c>
      <c r="E15" s="62" t="n"/>
      <c r="F15" s="14" t="inlineStr">
        <is>
          <t>—</t>
        </is>
      </c>
    </row>
    <row r="16" ht="57.75" customHeight="1" s="60">
      <c r="B16" s="3" t="inlineStr">
        <is>
          <t>오타·표기 불일치</t>
        </is>
      </c>
      <c r="C16" s="13" t="inlineStr">
        <is>
          <t>Y</t>
        </is>
      </c>
      <c r="D16" s="75" t="inlineStr">
        <is>
          <t>C12 요소범주 'RetaledIdentifier' 오타(→RelatedIdentifier); C1 요소명 'Chart' vs 표시상수 'Image' 혼용.</t>
        </is>
      </c>
      <c r="E16" s="62" t="n"/>
      <c r="F16" s="14" t="inlineStr">
        <is>
          <t>부분</t>
        </is>
      </c>
    </row>
    <row r="17" ht="57.75" customHeight="1" s="60">
      <c r="B17" s="3" t="inlineStr">
        <is>
          <t>내부 일관성</t>
        </is>
      </c>
      <c r="C17" s="13" t="inlineStr">
        <is>
          <t>Y</t>
        </is>
      </c>
      <c r="D17" s="75" t="inlineStr">
        <is>
          <t>발생 제약(Once=O/Repetition=R)과 중요도(Optional=O)가 같은 'O'를 공유해 요약표의 '반복'·'중요도'가 혼동.</t>
        </is>
      </c>
      <c r="E17" s="62" t="n"/>
      <c r="F17" s="14" t="inlineStr">
        <is>
          <t>부분</t>
        </is>
      </c>
    </row>
    <row r="18" ht="57.75" customHeight="1" s="60">
      <c r="B18" s="3" t="inlineStr">
        <is>
          <t>기타</t>
        </is>
      </c>
      <c r="C18" s="13" t="inlineStr">
        <is>
          <t>N</t>
        </is>
      </c>
      <c r="D18" s="75" t="inlineStr">
        <is>
          <t>위 분류 외 추가 결함은 발견되지 않음.</t>
        </is>
      </c>
      <c r="E18" s="62" t="n"/>
      <c r="F18" s="14" t="inlineStr">
        <is>
          <t>—</t>
        </is>
      </c>
    </row>
    <row r="19" ht="15" customHeight="1" s="60">
      <c r="B19" s="15" t="inlineStr">
        <is>
          <t>결함 발견 수 (Y)</t>
        </is>
      </c>
      <c r="C19" s="86">
        <f>COUNTIF(C12:C18,"Y")</f>
        <v/>
      </c>
      <c r="D19" s="62" t="n"/>
      <c r="E19" s="62" t="n"/>
      <c r="F19" s="62" t="n"/>
    </row>
    <row r="21" ht="16.5" customHeight="1" s="60">
      <c r="B21" s="82" t="inlineStr">
        <is>
          <t>■ B축 — AI-Ready 7개 구성요소 성숙도</t>
        </is>
      </c>
      <c r="C21" s="62" t="n"/>
      <c r="D21" s="62" t="n"/>
      <c r="E21" s="62" t="n"/>
      <c r="F21" s="62" t="n"/>
    </row>
    <row r="22" ht="15" customHeight="1" s="60">
      <c r="B22" s="4" t="inlineStr">
        <is>
          <t>구성요소</t>
        </is>
      </c>
      <c r="C22" s="2" t="inlineStr">
        <is>
          <t>등급(0/1/2)</t>
        </is>
      </c>
      <c r="D22" s="4" t="inlineStr">
        <is>
          <t>근거</t>
        </is>
      </c>
      <c r="E22" s="71" t="inlineStr">
        <is>
          <t>충족 위한 매핑 대상</t>
        </is>
      </c>
      <c r="F22" s="62" t="n"/>
    </row>
    <row r="23" ht="61.5" customHeight="1" s="60">
      <c r="B23" s="3" t="inlineStr">
        <is>
          <t>시맨틱</t>
        </is>
      </c>
      <c r="C23" s="42" t="n">
        <v>1</v>
      </c>
      <c r="D23" s="17" t="inlineStr">
        <is>
          <t>요소가 DCMI·DataCite에 정렬되고 도표–학술자료를 Relation·RelatedIdentifier로 연결. 산문 URL·통제어 비-SKOS, @context 없음.</t>
        </is>
      </c>
      <c r="E23" s="74" t="inlineStr">
        <is>
          <t>dct:·SKOS 바인딩</t>
        </is>
      </c>
      <c r="F23" s="62" t="n"/>
    </row>
    <row r="24" ht="61.5" customHeight="1" s="60">
      <c r="B24" s="3" t="inlineStr">
        <is>
          <t>데이터 모델</t>
        </is>
      </c>
      <c r="C24" s="42" t="n">
        <v>1</v>
      </c>
      <c r="D24" s="17" t="inlineStr">
        <is>
          <t>요소 유형(Class/Property/SEP/CVP)·중요도·발생 제약(카디널리티) 표 정리, 검증 스키마 없음.</t>
        </is>
      </c>
      <c r="E24" s="74" t="inlineStr">
        <is>
          <t>SHACL/JSON Schema</t>
        </is>
      </c>
      <c r="F24" s="62" t="n"/>
    </row>
    <row r="25" ht="61.5" customHeight="1" s="60">
      <c r="B25" s="3" t="inlineStr">
        <is>
          <t>신태틱</t>
        </is>
      </c>
      <c r="C25" s="18" t="n">
        <v>0</v>
      </c>
      <c r="D25" s="19" t="inlineStr">
        <is>
          <t>사용 예시가 '요소–값' 표로만 제시되고 규범 직렬화 형식 없음.</t>
        </is>
      </c>
      <c r="E25" s="74" t="inlineStr">
        <is>
          <t>JSON-LD(예시 표 승격)</t>
        </is>
      </c>
      <c r="F25" s="62" t="n"/>
    </row>
    <row r="26" ht="61.5" customHeight="1" s="60">
      <c r="B26" s="3" t="inlineStr">
        <is>
          <t>운영 시맨틱</t>
        </is>
      </c>
      <c r="C26" s="18" t="inlineStr">
        <is>
          <t>N/A</t>
        </is>
      </c>
      <c r="D26" s="19" t="inlineStr">
        <is>
          <t>도표 저작권·인용 검증 메타데이터로 ML 사용 방식 정의가 아님.</t>
        </is>
      </c>
      <c r="E26" s="74" t="inlineStr">
        <is>
          <t>(비해당)</t>
        </is>
      </c>
      <c r="F26" s="62" t="n"/>
    </row>
    <row r="27" ht="61.5" customHeight="1" s="60">
      <c r="B27" s="3" t="inlineStr">
        <is>
          <t>출처/계보</t>
        </is>
      </c>
      <c r="C27" s="42" t="n">
        <v>1</v>
      </c>
      <c r="D27" s="17" t="inlineStr">
        <is>
          <t>Date/DateType·Creator·Publisher·PublicationYear + Relation·RelatedIdentifier로 파생·인용 관계 보유. 계보 미형식.</t>
        </is>
      </c>
      <c r="E27" s="74" t="inlineStr">
        <is>
          <t>PROV-O(wasDerivedFrom)</t>
        </is>
      </c>
      <c r="F27" s="62" t="n"/>
    </row>
    <row r="28" ht="61.5" customHeight="1" s="60">
      <c r="B28" s="3" t="inlineStr">
        <is>
          <t>품질 프로파일</t>
        </is>
      </c>
      <c r="C28" s="18" t="n">
        <v>0</v>
      </c>
      <c r="D28" s="17" t="inlineStr">
        <is>
          <t>'공정 사용 검증'이 목적이나 유사도·중복도 등 품질·판정 지표가 형식 어휘로 없음.</t>
        </is>
      </c>
      <c r="E28" s="74" t="inlineStr">
        <is>
          <t>DQV(중복 판정)</t>
        </is>
      </c>
      <c r="F28" s="62" t="n"/>
    </row>
    <row r="29" ht="61.5" customHeight="1" s="60">
      <c r="B29" s="3" t="inlineStr">
        <is>
          <t>접근/사용 제약</t>
        </is>
      </c>
      <c r="C29" s="42" t="n">
        <v>1</v>
      </c>
      <c r="D29" s="19" t="inlineStr">
        <is>
          <t>Rights(도표·자원 저작권)가 양 계층 필수이나 자유 텍스트, license URI·ODRL 아님.</t>
        </is>
      </c>
      <c r="E29" s="74" t="inlineStr">
        <is>
          <t>dct:license·ODRL</t>
        </is>
      </c>
      <c r="F29" s="62" t="n"/>
    </row>
    <row r="30" ht="15" customHeight="1" s="60">
      <c r="B30" s="15" t="inlineStr">
        <is>
          <t>성숙도 점수</t>
        </is>
      </c>
      <c r="C30" s="81">
        <f>IF(COUNT(C23:C29)=0,"",SUM(C23:C29)/(COUNT(C23:C29)*2))</f>
        <v/>
      </c>
      <c r="D30" s="62" t="n"/>
      <c r="E30" s="62" t="n"/>
      <c r="F30" s="62" t="n"/>
    </row>
    <row r="32" ht="16.5" customHeight="1" s="60">
      <c r="B32" s="76" t="inlineStr">
        <is>
          <t>■ 종합 — 가장 시급한 개선 1~2개</t>
        </is>
      </c>
      <c r="C32" s="62" t="n"/>
      <c r="D32" s="62" t="n"/>
      <c r="E32" s="62" t="n"/>
      <c r="F32" s="62" t="n"/>
    </row>
    <row r="33" ht="21.75" customHeight="1" s="60">
      <c r="B33" s="78" t="inlineStr">
        <is>
          <t>1) 신태틱 — 예시 표를 JSON-LD로 승격
2) 품질 — 도표 중복·공정사용 판정을 DQV로(검증 자동화 직결)</t>
        </is>
      </c>
      <c r="C33" s="79" t="n"/>
      <c r="D33" s="79" t="n"/>
      <c r="E33" s="79" t="n"/>
      <c r="F33" s="79" t="n"/>
    </row>
    <row r="34" ht="21.75" customHeight="1" s="60">
      <c r="B34" s="8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pageMargins left="0.3" right="0.3" top="0.4" bottom="0.4" header="0.511811023622047" footer="0.511811023622047"/>
  <pageSetup orientation="landscape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workbookViewId="0">
      <selection activeCell="A1" sqref="A1"/>
    </sheetView>
  </sheetViews>
  <sheetFormatPr baseColWidth="8" defaultColWidth="8.6328125" defaultRowHeight="14.5"/>
  <cols>
    <col width="3" customWidth="1" style="60" min="1" max="1"/>
    <col width="20" customWidth="1" style="60" min="2" max="2"/>
    <col width="11" customWidth="1" style="60" min="3" max="3"/>
    <col width="24" customWidth="1" style="60" min="4" max="4"/>
    <col width="18" customWidth="1" style="60" min="5" max="5"/>
    <col width="16" customWidth="1" style="60" min="6" max="6"/>
    <col width="3" customWidth="1" style="60" min="7" max="7"/>
  </cols>
  <sheetData>
    <row r="2" ht="24" customHeight="1" s="60">
      <c r="B2" s="77" t="inlineStr">
        <is>
          <t>AI-Ready 표준 분석 카드</t>
        </is>
      </c>
    </row>
    <row r="4" ht="15" customHeight="1" s="60">
      <c r="B4" s="76" t="inlineStr">
        <is>
          <t>■ 식별 정보</t>
        </is>
      </c>
      <c r="C4" s="62" t="n"/>
      <c r="D4" s="62" t="n"/>
      <c r="E4" s="62" t="n"/>
      <c r="F4" s="62" t="n"/>
    </row>
    <row r="5" ht="15" customHeight="1" s="60">
      <c r="B5" s="10" t="inlineStr">
        <is>
          <t>표준번호</t>
        </is>
      </c>
      <c r="C5" s="85" t="inlineStr">
        <is>
          <t>TTAK.KO-10.1506</t>
        </is>
      </c>
      <c r="D5" s="84" t="n"/>
      <c r="E5" s="10" t="inlineStr">
        <is>
          <t>판수</t>
        </is>
      </c>
      <c r="F5" s="83" t="inlineStr">
        <is>
          <t>제1판</t>
        </is>
      </c>
    </row>
    <row r="6" ht="29.25" customHeight="1" s="60">
      <c r="B6" s="10" t="inlineStr">
        <is>
          <t>표준명</t>
        </is>
      </c>
      <c r="C6" s="83" t="inlineStr">
        <is>
          <t>OWPML 문서 메타데이터를 데이터베이스 스키마에 매핑하기 위한 변환 절차</t>
        </is>
      </c>
      <c r="D6" s="84" t="n"/>
      <c r="E6" s="10" t="inlineStr">
        <is>
          <t>제정일</t>
        </is>
      </c>
      <c r="F6" s="85" t="inlineStr">
        <is>
          <t>2024.06.28.</t>
        </is>
      </c>
    </row>
    <row r="7" ht="15" customHeight="1" s="60">
      <c r="B7" s="10" t="inlineStr">
        <is>
          <t>소관 PG</t>
        </is>
      </c>
      <c r="C7" s="85" t="inlineStr">
        <is>
          <t>PG606</t>
        </is>
      </c>
      <c r="D7" s="84" t="n"/>
      <c r="E7" s="10" t="inlineStr">
        <is>
          <t>최근 개정일</t>
        </is>
      </c>
      <c r="F7" s="85" t="inlineStr">
        <is>
          <t>-</t>
        </is>
      </c>
    </row>
    <row r="8" ht="15" customHeight="1" s="60">
      <c r="B8" s="10" t="inlineStr">
        <is>
          <t>도메인 분류</t>
        </is>
      </c>
      <c r="C8" s="83" t="inlineStr">
        <is>
          <t>문서→DB 변환 절차 (메타데이터 스키마 아님·참고 적용)</t>
        </is>
      </c>
      <c r="D8" s="84" t="n"/>
      <c r="E8" s="10" t="inlineStr">
        <is>
          <t>분석 담당자</t>
        </is>
      </c>
      <c r="F8" s="85" t="inlineStr">
        <is>
          <t>(추가분석)</t>
        </is>
      </c>
    </row>
    <row r="10" ht="16.5" customHeight="1" s="60">
      <c r="B10" s="82" t="inlineStr">
        <is>
          <t>■ A축 — 품질·정합성 결함 점검</t>
        </is>
      </c>
      <c r="C10" s="62" t="n"/>
      <c r="D10" s="62" t="n"/>
      <c r="E10" s="62" t="n"/>
      <c r="F10" s="62" t="n"/>
    </row>
    <row r="11" ht="15" customHeight="1" s="60">
      <c r="B11" s="4" t="inlineStr">
        <is>
          <t>결함 유형</t>
        </is>
      </c>
      <c r="C11" s="2" t="inlineStr">
        <is>
          <t>발견</t>
        </is>
      </c>
      <c r="D11" s="71" t="inlineStr">
        <is>
          <t>구체 사례</t>
        </is>
      </c>
      <c r="E11" s="62" t="n"/>
      <c r="F11" s="2" t="inlineStr">
        <is>
          <t>자동검사</t>
        </is>
      </c>
    </row>
    <row r="12" ht="57.75" customHeight="1" s="60">
      <c r="B12" s="3" t="inlineStr">
        <is>
          <t>데이터 타입 정의 오류</t>
        </is>
      </c>
      <c r="C12" s="13" t="inlineStr">
        <is>
          <t>N</t>
        </is>
      </c>
      <c r="D12" s="75" t="inlineStr">
        <is>
          <t>형태 컬럼(long·string·enum·double·integer)이 대체로 일관.</t>
        </is>
      </c>
      <c r="E12" s="62" t="n"/>
      <c r="F12" s="14" t="inlineStr">
        <is>
          <t>—</t>
        </is>
      </c>
    </row>
    <row r="13" ht="57.75" customHeight="1" s="60">
      <c r="B13" s="3" t="inlineStr">
        <is>
          <t>단위 표기 모호성</t>
        </is>
      </c>
      <c r="C13" s="13" t="inlineStr">
        <is>
          <t>N/A</t>
        </is>
      </c>
      <c r="D13" s="75" t="inlineStr">
        <is>
          <t>물리 단위가 아니라 문서 좌표·크기(정수/실수)를 다룸.</t>
        </is>
      </c>
      <c r="E13" s="62" t="n"/>
      <c r="F13" s="14" t="inlineStr">
        <is>
          <t>—</t>
        </is>
      </c>
    </row>
    <row r="14" ht="57.75" customHeight="1" s="60">
      <c r="B14" s="3" t="inlineStr">
        <is>
          <t>인용/준용표준 분류 오류</t>
        </is>
      </c>
      <c r="C14" s="13" t="inlineStr">
        <is>
          <t>Y</t>
        </is>
      </c>
      <c r="D14" s="75" t="inlineStr">
        <is>
          <t>§3 '인용표준 해당사항 없음'이나 OWPML(KS X 6101)·OOXML(ISO/IEC 29500)에 규범 의존(연계 표준 1471).</t>
        </is>
      </c>
      <c r="E14" s="62" t="n"/>
      <c r="F14" s="14" t="inlineStr">
        <is>
          <t>부분</t>
        </is>
      </c>
    </row>
    <row r="15" ht="57.75" customHeight="1" s="60">
      <c r="B15" s="3" t="inlineStr">
        <is>
          <t>코드/enum 정의 오류</t>
        </is>
      </c>
      <c r="C15" s="13" t="inlineStr">
        <is>
          <t>Y</t>
        </is>
      </c>
      <c r="D15" s="75" t="inlineStr">
        <is>
          <t>enum(breakType 등)의 허용값 목록이 문서에 명시되지 않음.</t>
        </is>
      </c>
      <c r="E15" s="62" t="n"/>
      <c r="F15" s="14" t="inlineStr">
        <is>
          <t>부분</t>
        </is>
      </c>
    </row>
    <row r="16" ht="57.75" customHeight="1" s="60">
      <c r="B16" s="3" t="inlineStr">
        <is>
          <t>오타·표기 불일치</t>
        </is>
      </c>
      <c r="C16" s="13" t="inlineStr">
        <is>
          <t>Y</t>
        </is>
      </c>
      <c r="D16" s="75" t="inlineStr">
        <is>
          <t>영문 요약 'medadata', 본문 '정의을'·'5.3.장'; 표5-3a 파서 속성 설명 오류(HwpxCurrentSize w/h='X좌표/Y좌표', HwpxFlip='너비/높이').</t>
        </is>
      </c>
      <c r="E16" s="62" t="n"/>
      <c r="F16" s="14" t="inlineStr">
        <is>
          <t>예</t>
        </is>
      </c>
    </row>
    <row r="17" ht="57.75" customHeight="1" s="60">
      <c r="B17" s="3" t="inlineStr">
        <is>
          <t>내부 일관성</t>
        </is>
      </c>
      <c r="C17" s="13" t="inlineStr">
        <is>
          <t>Y</t>
        </is>
      </c>
      <c r="D17" s="75" t="inlineStr">
        <is>
          <t>표 5-1b·5-2a 헤더가 'OOXML Tag Classification Depth'인데 정의 내용은 OWPML(hp:*·hh:*) — 자매표준(OOXML)과 혼동.</t>
        </is>
      </c>
      <c r="E17" s="62" t="n"/>
      <c r="F17" s="14" t="inlineStr">
        <is>
          <t>예</t>
        </is>
      </c>
    </row>
    <row r="18" ht="57.75" customHeight="1" s="60">
      <c r="B18" s="3" t="inlineStr">
        <is>
          <t>기타</t>
        </is>
      </c>
      <c r="C18" s="13" t="inlineStr">
        <is>
          <t>N</t>
        </is>
      </c>
      <c r="D18" s="75" t="inlineStr">
        <is>
          <t>위 분류 외 추가 결함 없음(단, 변환 절차 표준으로 AI-Ready 잣대 적용은 제한적 — 종합란 참조).</t>
        </is>
      </c>
      <c r="E18" s="62" t="n"/>
      <c r="F18" s="14" t="inlineStr">
        <is>
          <t>—</t>
        </is>
      </c>
    </row>
    <row r="19" ht="15" customHeight="1" s="60">
      <c r="B19" s="15" t="inlineStr">
        <is>
          <t>결함 발견 수 (Y)</t>
        </is>
      </c>
      <c r="C19" s="86">
        <f>COUNTIF(C12:C18,"Y")</f>
        <v/>
      </c>
      <c r="D19" s="62" t="n"/>
      <c r="E19" s="62" t="n"/>
      <c r="F19" s="62" t="n"/>
    </row>
    <row r="21" ht="16.5" customHeight="1" s="60">
      <c r="B21" s="82" t="inlineStr">
        <is>
          <t>■ B축 — AI-Ready 7개 구성요소 성숙도</t>
        </is>
      </c>
      <c r="C21" s="62" t="n"/>
      <c r="D21" s="62" t="n"/>
      <c r="E21" s="62" t="n"/>
      <c r="F21" s="62" t="n"/>
    </row>
    <row r="22" ht="15" customHeight="1" s="60">
      <c r="B22" s="4" t="inlineStr">
        <is>
          <t>구성요소</t>
        </is>
      </c>
      <c r="C22" s="2" t="inlineStr">
        <is>
          <t>등급(0/1/2)</t>
        </is>
      </c>
      <c r="D22" s="4" t="inlineStr">
        <is>
          <t>근거</t>
        </is>
      </c>
      <c r="E22" s="71" t="inlineStr">
        <is>
          <t>충족 위한 매핑 대상</t>
        </is>
      </c>
      <c r="F22" s="62" t="n"/>
    </row>
    <row r="23" ht="61.5" customHeight="1" s="60">
      <c r="B23" s="3" t="inlineStr">
        <is>
          <t>시맨틱</t>
        </is>
      </c>
      <c r="C23" s="42" t="n">
        <v>0</v>
      </c>
      <c r="D23" s="17" t="inlineStr">
        <is>
          <t>문서 요소(ParagraphNode·TableNode·GraphicBaseNode)·속성이 로컬 이름으로만 정의, 전역 어휘 IRI 없음(목표는 지식그래프).</t>
        </is>
      </c>
      <c r="E23" s="74" t="inlineStr">
        <is>
          <t>schema.org·문서 온톨로지</t>
        </is>
      </c>
      <c r="F23" s="62" t="n"/>
    </row>
    <row r="24" ht="61.5" customHeight="1" s="60">
      <c r="B24" s="3" t="inlineStr">
        <is>
          <t>데이터 모델</t>
        </is>
      </c>
      <c r="C24" s="42" t="n">
        <v>1</v>
      </c>
      <c r="D24" s="17" t="inlineStr">
        <is>
          <t>속성마다 형태(long/string/enum/double/integer)·필수여부를 표로 정의(값 형식 기초). enum 허용값·검증 스키마 없음.</t>
        </is>
      </c>
      <c r="E24" s="74" t="inlineStr">
        <is>
          <t>SHACL/JSON Schema</t>
        </is>
      </c>
      <c r="F24" s="62" t="n"/>
    </row>
    <row r="25" ht="61.5" customHeight="1" s="60">
      <c r="B25" s="3" t="inlineStr">
        <is>
          <t>신태틱</t>
        </is>
      </c>
      <c r="C25" s="18" t="n">
        <v>0</v>
      </c>
      <c r="D25" s="19" t="inlineStr">
        <is>
          <t>입력 OWPML(XML)·출력 관계형 DB로, 표준 메타데이터 직렬화(JSON-LD/RDF) 규범 없음.</t>
        </is>
      </c>
      <c r="E25" s="74" t="inlineStr">
        <is>
          <t>JSON-LD/RDF 내보내기</t>
        </is>
      </c>
      <c r="F25" s="62" t="n"/>
    </row>
    <row r="26" ht="61.5" customHeight="1" s="60">
      <c r="B26" s="3" t="inlineStr">
        <is>
          <t>운영 시맨틱</t>
        </is>
      </c>
      <c r="C26" s="18" t="inlineStr">
        <is>
          <t>N/A</t>
        </is>
      </c>
      <c r="D26" s="19" t="inlineStr">
        <is>
          <t>ML 학습·검증 데이터셋 기술 표준이 아님.</t>
        </is>
      </c>
      <c r="E26" s="74" t="inlineStr">
        <is>
          <t>(비해당)</t>
        </is>
      </c>
      <c r="F26" s="62" t="n"/>
    </row>
    <row r="27" ht="61.5" customHeight="1" s="60">
      <c r="B27" s="3" t="inlineStr">
        <is>
          <t>출처/계보</t>
        </is>
      </c>
      <c r="C27" s="42" t="n">
        <v>0</v>
      </c>
      <c r="D27" s="17" t="inlineStr">
        <is>
          <t>DocumentRelationDTO는 문서 구조 관계(부모/자식)이지 데이터 계보가 아님.</t>
        </is>
      </c>
      <c r="E27" s="74" t="inlineStr">
        <is>
          <t>PROV-O(변환 이력)</t>
        </is>
      </c>
      <c r="F27" s="62" t="n"/>
    </row>
    <row r="28" ht="61.5" customHeight="1" s="60">
      <c r="B28" s="3" t="inlineStr">
        <is>
          <t>품질 프로파일</t>
        </is>
      </c>
      <c r="C28" s="18" t="n">
        <v>0</v>
      </c>
      <c r="D28" s="17" t="inlineStr">
        <is>
          <t>부록Ⅰ.2 호환 불가능 처리방안이 있으나 DQV 등 품질 형식 어휘 없음.</t>
        </is>
      </c>
      <c r="E28" s="74" t="inlineStr">
        <is>
          <t>DQV(변환 완전성)</t>
        </is>
      </c>
      <c r="F28" s="62" t="n"/>
    </row>
    <row r="29" ht="61.5" customHeight="1" s="60">
      <c r="B29" s="3" t="inlineStr">
        <is>
          <t>접근/사용 제약</t>
        </is>
      </c>
      <c r="C29" s="42" t="n">
        <v>0</v>
      </c>
      <c r="D29" s="19" t="inlineStr">
        <is>
          <t>문서·데이터 라이선스·접근권 미정의.</t>
        </is>
      </c>
      <c r="E29" s="74" t="inlineStr">
        <is>
          <t>dct:license·DCAT</t>
        </is>
      </c>
      <c r="F29" s="62" t="n"/>
    </row>
    <row r="30" ht="15" customHeight="1" s="60">
      <c r="B30" s="15" t="inlineStr">
        <is>
          <t>성숙도 점수</t>
        </is>
      </c>
      <c r="C30" s="81">
        <f>IF(COUNT(C23:C29)=0,"",SUM(C23:C29)/(COUNT(C23:C29)*2))</f>
        <v/>
      </c>
      <c r="D30" s="62" t="n"/>
      <c r="E30" s="62" t="n"/>
      <c r="F30" s="62" t="n"/>
    </row>
    <row r="32" ht="16.5" customHeight="1" s="60">
      <c r="B32" s="76" t="inlineStr">
        <is>
          <t>■ 종합 — 가장 시급한 개선 1~2개</t>
        </is>
      </c>
      <c r="C32" s="62" t="n"/>
      <c r="D32" s="62" t="n"/>
      <c r="E32" s="62" t="n"/>
      <c r="F32" s="62" t="n"/>
    </row>
    <row r="33" ht="21.75" customHeight="1" s="60">
      <c r="B33" s="78" t="inlineStr">
        <is>
          <t>변환 절차 표준(메타데이터 스키마 아님)으로 수준요건 직접 대상보다 '지식그래프 산출 파이프라인'.
1) 변환 산출물(DB)을 @context로 RDF 매핑  2) 변환 이력을 PROV-O로. 성숙도 8%는 준비도가 아닌 성격 차이.</t>
        </is>
      </c>
      <c r="C33" s="79" t="n"/>
      <c r="D33" s="79" t="n"/>
      <c r="E33" s="79" t="n"/>
      <c r="F33" s="79" t="n"/>
    </row>
    <row r="34" ht="21.75" customHeight="1" s="60">
      <c r="B34" s="8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pageMargins left="0.3" right="0.3" top="0.4" bottom="0.4" header="0.511811023622047" footer="0.511811023622047"/>
  <pageSetup orientation="landscape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F34"/>
  <sheetViews>
    <sheetView workbookViewId="0">
      <selection activeCell="A1" sqref="A1"/>
    </sheetView>
  </sheetViews>
  <sheetFormatPr baseColWidth="8" defaultColWidth="8.6328125" defaultRowHeight="14.5"/>
  <cols>
    <col width="3" customWidth="1" style="60" min="1" max="1"/>
    <col width="20" customWidth="1" style="60" min="2" max="2"/>
    <col width="11" customWidth="1" style="60" min="3" max="3"/>
    <col width="24" customWidth="1" style="60" min="4" max="4"/>
    <col width="18" customWidth="1" style="60" min="5" max="5"/>
    <col width="16" customWidth="1" style="60" min="6" max="6"/>
    <col width="3" customWidth="1" style="60" min="7" max="7"/>
  </cols>
  <sheetData>
    <row r="2" ht="24" customHeight="1" s="60">
      <c r="B2" s="77" t="inlineStr">
        <is>
          <t>AI-Ready 표준 분석 카드</t>
        </is>
      </c>
    </row>
    <row r="4" ht="15" customHeight="1" s="60">
      <c r="B4" s="76" t="inlineStr">
        <is>
          <t>■ 식별 정보</t>
        </is>
      </c>
      <c r="C4" s="62" t="n"/>
      <c r="D4" s="62" t="n"/>
      <c r="E4" s="62" t="n"/>
      <c r="F4" s="62" t="n"/>
    </row>
    <row r="5" ht="15" customHeight="1" s="60">
      <c r="B5" s="10" t="inlineStr">
        <is>
          <t>표준번호</t>
        </is>
      </c>
      <c r="C5" s="85" t="inlineStr">
        <is>
          <t>TTAK.KO-11.0222</t>
        </is>
      </c>
      <c r="D5" s="84" t="n"/>
      <c r="E5" s="10" t="inlineStr">
        <is>
          <t>판수</t>
        </is>
      </c>
      <c r="F5" s="83" t="inlineStr">
        <is>
          <t>제1판</t>
        </is>
      </c>
    </row>
    <row r="6" ht="29.25" customHeight="1" s="60">
      <c r="B6" s="10" t="inlineStr">
        <is>
          <t>표준명</t>
        </is>
      </c>
      <c r="C6" s="83" t="inlineStr">
        <is>
          <t>기상 예측 모델 공통 데이터 요소 및 운영 방법</t>
        </is>
      </c>
      <c r="D6" s="84" t="n"/>
      <c r="E6" s="10" t="inlineStr">
        <is>
          <t>제정일</t>
        </is>
      </c>
      <c r="F6" s="85" t="inlineStr">
        <is>
          <t>2016.12.27.(2025확인)</t>
        </is>
      </c>
    </row>
    <row r="7" ht="15" customHeight="1" s="60">
      <c r="B7" s="10" t="inlineStr">
        <is>
          <t>소관 PG</t>
        </is>
      </c>
      <c r="C7" s="85" t="inlineStr">
        <is>
          <t>PG606</t>
        </is>
      </c>
      <c r="D7" s="84" t="n"/>
      <c r="E7" s="10" t="inlineStr">
        <is>
          <t>최근 개정일</t>
        </is>
      </c>
      <c r="F7" s="85" t="inlineStr">
        <is>
          <t>-</t>
        </is>
      </c>
    </row>
    <row r="8" ht="15" customHeight="1" s="60">
      <c r="B8" s="10" t="inlineStr">
        <is>
          <t>도메인 분류</t>
        </is>
      </c>
      <c r="C8" s="83" t="inlineStr">
        <is>
          <t>재난·재해 기상예측 모델 / 운영·자원 메타데이터 (경계)</t>
        </is>
      </c>
      <c r="D8" s="84" t="n"/>
      <c r="E8" s="10" t="inlineStr">
        <is>
          <t>분석 담당자</t>
        </is>
      </c>
      <c r="F8" s="85" t="inlineStr">
        <is>
          <t>(추가분석)</t>
        </is>
      </c>
    </row>
    <row r="10" ht="16.5" customHeight="1" s="60">
      <c r="B10" s="82" t="inlineStr">
        <is>
          <t>■ A축 — 품질·정합성 결함 점검</t>
        </is>
      </c>
      <c r="C10" s="62" t="n"/>
      <c r="D10" s="62" t="n"/>
      <c r="E10" s="62" t="n"/>
      <c r="F10" s="62" t="n"/>
    </row>
    <row r="11" ht="15" customHeight="1" s="60">
      <c r="B11" s="4" t="inlineStr">
        <is>
          <t>결함 유형</t>
        </is>
      </c>
      <c r="C11" s="2" t="inlineStr">
        <is>
          <t>발견</t>
        </is>
      </c>
      <c r="D11" s="71" t="inlineStr">
        <is>
          <t>구체 사례</t>
        </is>
      </c>
      <c r="E11" s="62" t="n"/>
      <c r="F11" s="2" t="inlineStr">
        <is>
          <t>자동검사</t>
        </is>
      </c>
    </row>
    <row r="12" ht="57.75" customHeight="1" s="60">
      <c r="B12" s="3" t="inlineStr">
        <is>
          <t>데이터 타입 정의 오류</t>
        </is>
      </c>
      <c r="C12" s="13" t="inlineStr">
        <is>
          <t>N</t>
        </is>
      </c>
      <c r="D12" s="75" t="inlineStr">
        <is>
          <t>데이터 형식이 String:VARCHAR(n)·Date·Integer로 대체로 일관(DBMS 표기).</t>
        </is>
      </c>
      <c r="E12" s="62" t="n"/>
      <c r="F12" s="14" t="inlineStr">
        <is>
          <t>—</t>
        </is>
      </c>
    </row>
    <row r="13" ht="57.75" customHeight="1" s="60">
      <c r="B13" s="3" t="inlineStr">
        <is>
          <t>단위 표기 모호성</t>
        </is>
      </c>
      <c r="C13" s="13" t="inlineStr">
        <is>
          <t>Y</t>
        </is>
      </c>
      <c r="D13" s="75" t="inlineStr">
        <is>
          <t>6장 공통 데이터 요소(온도·압력·바람 등)에 표준 단위 미정의(°C/K·hPa 미표기). attributeName 'units'는 예시(percent 등)뿐.</t>
        </is>
      </c>
      <c r="E13" s="62" t="n"/>
      <c r="F13" s="14" t="inlineStr">
        <is>
          <t>예</t>
        </is>
      </c>
    </row>
    <row r="14" ht="57.75" customHeight="1" s="60">
      <c r="B14" s="3" t="inlineStr">
        <is>
          <t>인용/준용표준 분류 오류</t>
        </is>
      </c>
      <c r="C14" s="13" t="inlineStr">
        <is>
          <t>Y</t>
        </is>
      </c>
      <c r="D14" s="75" t="inlineStr">
        <is>
          <t>§2·§3 '인용표준 해당없음'이나 netCDF·CF(standard_name)·ANSI 데이터 형식 개념에 의존.</t>
        </is>
      </c>
      <c r="E14" s="62" t="n"/>
      <c r="F14" s="14" t="inlineStr">
        <is>
          <t>부분</t>
        </is>
      </c>
    </row>
    <row r="15" ht="57.75" customHeight="1" s="60">
      <c r="B15" s="3" t="inlineStr">
        <is>
          <t>코드/enum 정의 오류</t>
        </is>
      </c>
      <c r="C15" s="13" t="inlineStr">
        <is>
          <t>Y</t>
        </is>
      </c>
      <c r="D15" s="75" t="inlineStr">
        <is>
          <t>7.3 입력데이터 예시 qualityControlCode '06'이 표7-5 코드표(01~03)에 없음; 표7-5 'qualityCotrolCode' 오타.</t>
        </is>
      </c>
      <c r="E15" s="62" t="n"/>
      <c r="F15" s="14" t="inlineStr">
        <is>
          <t>예</t>
        </is>
      </c>
    </row>
    <row r="16" ht="57.75" customHeight="1" s="60">
      <c r="B16" s="3" t="inlineStr">
        <is>
          <t>오타·표기 불일치</t>
        </is>
      </c>
      <c r="C16" s="13" t="inlineStr">
        <is>
          <t>Y</t>
        </is>
      </c>
      <c r="D16" s="75" t="inlineStr">
        <is>
          <t>표 번호 로마숫자(Ⅴ-1·Ⅵ-3/Ⅵ-4)와 아라비아(7-2~7-5) 혼용; 절 참조 '6.4/6.5'가 실제 7.2/7.3; '활당'·'frequencePerDay'.</t>
        </is>
      </c>
      <c r="E16" s="62" t="n"/>
      <c r="F16" s="14" t="inlineStr">
        <is>
          <t>예</t>
        </is>
      </c>
    </row>
    <row r="17" ht="57.75" customHeight="1" s="60">
      <c r="B17" s="3" t="inlineStr">
        <is>
          <t>내부 일관성</t>
        </is>
      </c>
      <c r="C17" s="13" t="inlineStr">
        <is>
          <t>Y</t>
        </is>
      </c>
      <c r="D17" s="75" t="inlineStr">
        <is>
          <t>표 번호·절 번호 참조 불일치(6장 표=Ⅴ, 7장 표=Ⅵ/7 혼재).</t>
        </is>
      </c>
      <c r="E17" s="62" t="n"/>
      <c r="F17" s="14" t="inlineStr">
        <is>
          <t>예</t>
        </is>
      </c>
    </row>
    <row r="18" ht="57.75" customHeight="1" s="60">
      <c r="B18" s="3" t="inlineStr">
        <is>
          <t>기타</t>
        </is>
      </c>
      <c r="C18" s="13" t="inlineStr">
        <is>
          <t>N</t>
        </is>
      </c>
      <c r="D18" s="75" t="inlineStr">
        <is>
          <t>위 분류 외 추가 결함은 발견되지 않음.</t>
        </is>
      </c>
      <c r="E18" s="62" t="n"/>
      <c r="F18" s="14" t="inlineStr">
        <is>
          <t>—</t>
        </is>
      </c>
    </row>
    <row r="19" ht="15" customHeight="1" s="60">
      <c r="B19" s="15" t="inlineStr">
        <is>
          <t>결함 발견 수 (Y)</t>
        </is>
      </c>
      <c r="C19" s="86">
        <f>COUNTIF(C12:C18,"Y")</f>
        <v/>
      </c>
      <c r="D19" s="62" t="n"/>
      <c r="E19" s="62" t="n"/>
      <c r="F19" s="62" t="n"/>
    </row>
    <row r="21" ht="16.5" customHeight="1" s="60">
      <c r="B21" s="82" t="inlineStr">
        <is>
          <t>■ B축 — AI-Ready 7개 구성요소 성숙도</t>
        </is>
      </c>
      <c r="C21" s="62" t="n"/>
      <c r="D21" s="62" t="n"/>
      <c r="E21" s="62" t="n"/>
      <c r="F21" s="62" t="n"/>
    </row>
    <row r="22" ht="15" customHeight="1" s="60">
      <c r="B22" s="4" t="inlineStr">
        <is>
          <t>구성요소</t>
        </is>
      </c>
      <c r="C22" s="2" t="inlineStr">
        <is>
          <t>등급(0/1/2)</t>
        </is>
      </c>
      <c r="D22" s="4" t="inlineStr">
        <is>
          <t>근거</t>
        </is>
      </c>
      <c r="E22" s="71" t="inlineStr">
        <is>
          <t>충족 위한 매핑 대상</t>
        </is>
      </c>
      <c r="F22" s="62" t="n"/>
    </row>
    <row r="23" ht="61.5" customHeight="1" s="60">
      <c r="B23" s="3" t="inlineStr">
        <is>
          <t>시맨틱</t>
        </is>
      </c>
      <c r="C23" s="42" t="n">
        <v>0</v>
      </c>
      <c r="D23" s="17" t="inlineStr">
        <is>
          <t>자원·모델을 URI(http://DatahubServer/def/…)로 식별하나 로컬 네임스페이스로, 전역 어휘(DCAT·SKOS)·CF standard_name 바인딩 없음.</t>
        </is>
      </c>
      <c r="E23" s="74" t="inlineStr">
        <is>
          <t>DCAT·QUDT·CF 어휘</t>
        </is>
      </c>
      <c r="F23" s="62" t="n"/>
    </row>
    <row r="24" ht="61.5" customHeight="1" s="60">
      <c r="B24" s="3" t="inlineStr">
        <is>
          <t>데이터 모델</t>
        </is>
      </c>
      <c r="C24" s="42" t="n">
        <v>1</v>
      </c>
      <c r="D24" s="17" t="inlineStr">
        <is>
          <t>입력/운영/결과 메타데이터를 요소명·데이터형식(VARCHAR 길이)·필수여부로 표 정의. SHACL 검증 없음.</t>
        </is>
      </c>
      <c r="E24" s="74" t="inlineStr">
        <is>
          <t>SHACL/JSON Schema</t>
        </is>
      </c>
      <c r="F24" s="62" t="n"/>
    </row>
    <row r="25" ht="61.5" customHeight="1" s="60">
      <c r="B25" s="3" t="inlineStr">
        <is>
          <t>신태틱</t>
        </is>
      </c>
      <c r="C25" s="18" t="n">
        <v>0</v>
      </c>
      <c r="D25" s="19" t="inlineStr">
        <is>
          <t>netCDF·관계형 DB 대상, 표준 메타데이터 직렬화(JSON-LD) 규범 없음.</t>
        </is>
      </c>
      <c r="E25" s="74" t="inlineStr">
        <is>
          <t>JSON-LD/RDF</t>
        </is>
      </c>
      <c r="F25" s="62" t="n"/>
    </row>
    <row r="26" ht="61.5" customHeight="1" s="60">
      <c r="B26" s="3" t="inlineStr">
        <is>
          <t>운영 시맨틱</t>
        </is>
      </c>
      <c r="C26" s="18" t="inlineStr">
        <is>
          <t>N/A</t>
        </is>
      </c>
      <c r="D26" s="19" t="inlineStr">
        <is>
          <t>수치 예측 모델 데이터로 ML 학습 split·feature/label 정의가 아님.</t>
        </is>
      </c>
      <c r="E26" s="74" t="inlineStr">
        <is>
          <t>(비해당)</t>
        </is>
      </c>
      <c r="F26" s="62" t="n"/>
    </row>
    <row r="27" ht="61.5" customHeight="1" s="60">
      <c r="B27" s="3" t="inlineStr">
        <is>
          <t>출처/계보</t>
        </is>
      </c>
      <c r="C27" s="42" t="n">
        <v>1</v>
      </c>
      <c r="D27" s="17" t="inlineStr">
        <is>
          <t>createDate·modifiedDate·collectionTime·createdBy + couplingModelID·input/outputResourceURI로 모델 간 데이터 흐름·커플링 계보 부분 보유.</t>
        </is>
      </c>
      <c r="E27" s="74" t="inlineStr">
        <is>
          <t>PROV-O</t>
        </is>
      </c>
      <c r="F27" s="62" t="n"/>
    </row>
    <row r="28" ht="61.5" customHeight="1" s="60">
      <c r="B28" s="3" t="inlineStr">
        <is>
          <t>품질 프로파일</t>
        </is>
      </c>
      <c r="C28" s="18" t="n">
        <v>1</v>
      </c>
      <c r="D28" s="17" t="inlineStr">
        <is>
          <t>qualityControlCode(품질 관리 상태 01~03) 필드를 명시하나 코드 수준·DQV 아님.</t>
        </is>
      </c>
      <c r="E28" s="74" t="inlineStr">
        <is>
          <t>DQV</t>
        </is>
      </c>
      <c r="F28" s="62" t="n"/>
    </row>
    <row r="29" ht="61.5" customHeight="1" s="60">
      <c r="B29" s="3" t="inlineStr">
        <is>
          <t>접근/사용 제약</t>
        </is>
      </c>
      <c r="C29" s="42" t="n">
        <v>0</v>
      </c>
      <c r="D29" s="19" t="inlineStr">
        <is>
          <t>라이선스·접근권 메타데이터 부재.</t>
        </is>
      </c>
      <c r="E29" s="74" t="inlineStr">
        <is>
          <t>dct:license·DCAT</t>
        </is>
      </c>
      <c r="F29" s="62" t="n"/>
    </row>
    <row r="30" ht="15" customHeight="1" s="60">
      <c r="B30" s="15" t="inlineStr">
        <is>
          <t>성숙도 점수</t>
        </is>
      </c>
      <c r="C30" s="81">
        <f>IF(COUNT(C23:C29)=0,"",SUM(C23:C29)/(COUNT(C23:C29)*2))</f>
        <v/>
      </c>
      <c r="D30" s="62" t="n"/>
      <c r="E30" s="62" t="n"/>
      <c r="F30" s="62" t="n"/>
    </row>
    <row r="32" ht="16.5" customHeight="1" s="60">
      <c r="B32" s="76" t="inlineStr">
        <is>
          <t>■ 종합 — 가장 시급한 개선 1~2개</t>
        </is>
      </c>
      <c r="C32" s="62" t="n"/>
      <c r="D32" s="62" t="n"/>
      <c r="E32" s="62" t="n"/>
      <c r="F32" s="62" t="n"/>
    </row>
    <row r="33" ht="21.75" customHeight="1" s="60">
      <c r="B33" s="78" t="inlineStr">
        <is>
          <t>1) 단위 — 기상 변수를 QUDT/UCUM·CF standard_name에 결합
2) 시맨틱 — 자원 URI를 DCAT/CF 어휘로 승격. 데이터 커뮤니케이션·운영 메타 표준으로 경계 성격.</t>
        </is>
      </c>
      <c r="C33" s="79" t="n"/>
      <c r="D33" s="79" t="n"/>
      <c r="E33" s="79" t="n"/>
      <c r="F33" s="79" t="n"/>
    </row>
    <row r="34" ht="21.75" customHeight="1" s="60">
      <c r="B34" s="80" t="n"/>
    </row>
  </sheetData>
  <mergeCells count="28">
    <mergeCell ref="B4:F4"/>
    <mergeCell ref="C6:D6"/>
    <mergeCell ref="E24:F24"/>
    <mergeCell ref="C5:D5"/>
    <mergeCell ref="E23:F23"/>
    <mergeCell ref="C19:F19"/>
    <mergeCell ref="B21:F21"/>
    <mergeCell ref="B2:F2"/>
    <mergeCell ref="E29:F29"/>
    <mergeCell ref="D11:E11"/>
    <mergeCell ref="D13:E13"/>
    <mergeCell ref="B33:F34"/>
    <mergeCell ref="E28:F28"/>
    <mergeCell ref="C30:F30"/>
    <mergeCell ref="D17:E17"/>
    <mergeCell ref="D16:E16"/>
    <mergeCell ref="B10:F10"/>
    <mergeCell ref="E27:F27"/>
    <mergeCell ref="D18:E18"/>
    <mergeCell ref="E26:F26"/>
    <mergeCell ref="C8:D8"/>
    <mergeCell ref="D12:E12"/>
    <mergeCell ref="C7:D7"/>
    <mergeCell ref="D15:E15"/>
    <mergeCell ref="E25:F25"/>
    <mergeCell ref="D14:E14"/>
    <mergeCell ref="E22:F22"/>
    <mergeCell ref="B32:F32"/>
  </mergeCells>
  <pageMargins left="0.3" right="0.3" top="0.4" bottom="0.4" header="0.511811023622047" footer="0.511811023622047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2026-06-22T02:07:18Z</dcterms:created>
  <dcterms:modified xmlns:dcterms="http://purl.org/dc/terms/" xmlns:xsi="http://www.w3.org/2001/XMLSchema-instance" xsi:type="dcterms:W3CDTF">2026-07-16T00:16:16Z</dcterms:modified>
  <cp:lastModifiedBy>김선태</cp:lastModifiedBy>
  <cp:revision>0</cp:revision>
</cp:coreProperties>
</file>