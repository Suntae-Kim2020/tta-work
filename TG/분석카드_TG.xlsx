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982" firstSheet="0" activeTab="0" autoFilterDateGrouping="1"/>
  </bookViews>
  <sheets>
    <sheet xmlns:r="http://schemas.openxmlformats.org/officeDocument/2006/relationships" name="안내·등급기준" sheetId="1" state="visible" r:id="rId1"/>
    <sheet xmlns:r="http://schemas.openxmlformats.org/officeDocument/2006/relationships" name="카드_빈양식" sheetId="2" state="visible" r:id="rId2"/>
    <sheet xmlns:r="http://schemas.openxmlformats.org/officeDocument/2006/relationships" name="종합매트릭스" sheetId="3" state="visible" r:id="rId3"/>
    <sheet xmlns:r="http://schemas.openxmlformats.org/officeDocument/2006/relationships" name="카드1530" sheetId="4" state="visible" r:id="rId4"/>
    <sheet xmlns:r="http://schemas.openxmlformats.org/officeDocument/2006/relationships" name="카드_1510" sheetId="5" state="visible" r:id="rId5"/>
    <sheet xmlns:r="http://schemas.openxmlformats.org/officeDocument/2006/relationships" name="카드_0310" sheetId="6" state="visible" r:id="rId6"/>
    <sheet xmlns:r="http://schemas.openxmlformats.org/officeDocument/2006/relationships" name="카드_1291p1" sheetId="7" state="visible" r:id="rId7"/>
    <sheet xmlns:r="http://schemas.openxmlformats.org/officeDocument/2006/relationships" name="카드_Y3603" sheetId="8" state="visible" r:id="rId8"/>
    <sheet xmlns:r="http://schemas.openxmlformats.org/officeDocument/2006/relationships" name="카드_0326p6" sheetId="9" state="visible" r:id="rId9"/>
    <sheet xmlns:r="http://schemas.openxmlformats.org/officeDocument/2006/relationships" name="카드_1419" sheetId="10" state="visible" r:id="rId10"/>
    <sheet xmlns:r="http://schemas.openxmlformats.org/officeDocument/2006/relationships" name="카드_1561" sheetId="11" state="visible" r:id="rId11"/>
    <sheet xmlns:r="http://schemas.openxmlformats.org/officeDocument/2006/relationships" name="카드_1500" sheetId="12" state="visible" r:id="rId12"/>
    <sheet xmlns:r="http://schemas.openxmlformats.org/officeDocument/2006/relationships" name="TG_27종_유형분류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7">
    <font>
      <name val="Calibri"/>
      <charset val="1"/>
      <family val="2"/>
      <color theme="1"/>
      <sz val="11"/>
    </font>
    <font>
      <name val="Arial"/>
      <family val="2"/>
      <b val="1"/>
      <color rgb="FFFFFFFF"/>
      <sz val="15"/>
    </font>
    <font>
      <name val="Arial"/>
      <family val="2"/>
      <color rgb="FF555555"/>
      <sz val="10"/>
    </font>
    <font>
      <name val="Arial"/>
      <family val="2"/>
      <b val="1"/>
      <color rgb="FFFFFFFF"/>
      <sz val="12"/>
    </font>
    <font>
      <name val="Noto Sans CJK SC"/>
      <charset val="1"/>
      <family val="2"/>
      <color rgb="FF000000"/>
      <sz val="10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Noto Sans CJK SC"/>
      <charset val="1"/>
      <family val="2"/>
      <color rgb="FF000000"/>
      <sz val="9"/>
    </font>
    <font>
      <name val="Arial"/>
      <family val="2"/>
      <color rgb="FF000000"/>
      <sz val="9"/>
    </font>
    <font>
      <name val="Noto Sans CJK SC"/>
      <charset val="1"/>
      <family val="2"/>
      <b val="1"/>
      <color rgb="FF8A6D1A"/>
      <sz val="10"/>
    </font>
    <font>
      <name val="Arial"/>
      <family val="2"/>
      <b val="1"/>
      <color rgb="FFFFFFFF"/>
      <sz val="14"/>
    </font>
    <font>
      <name val="Noto Sans CJK SC"/>
      <charset val="1"/>
      <family val="2"/>
      <b val="1"/>
      <color rgb="FFFFFFFF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8A6D1A"/>
      <sz val="10"/>
    </font>
    <font>
      <name val="Arial"/>
      <family val="2"/>
      <color rgb="FF0000FF"/>
      <sz val="10"/>
    </font>
    <font>
      <name val="Arial"/>
      <family val="2"/>
      <color rgb="FF0000FF"/>
      <sz val="9"/>
    </font>
    <font>
      <name val="Arial"/>
      <family val="2"/>
      <b val="1"/>
      <color rgb="FF0000FF"/>
      <sz val="10"/>
    </font>
    <font>
      <name val="Noto Sans CJK SC"/>
      <charset val="1"/>
      <family val="2"/>
      <b val="1"/>
      <color rgb="FFFFFFFF"/>
      <sz val="13"/>
    </font>
    <font>
      <name val="Noto Sans CJK SC"/>
      <charset val="1"/>
      <family val="2"/>
      <b val="1"/>
      <color rgb="FFFFFFFF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9"/>
    </font>
    <font>
      <name val="Arial"/>
      <family val="2"/>
      <b val="1"/>
      <color rgb="FF8A6D1A"/>
      <sz val="9"/>
    </font>
    <font>
      <name val="Arial"/>
      <family val="2"/>
      <sz val="9"/>
    </font>
    <font>
      <name val="Noto Sans CJK SC"/>
      <charset val="1"/>
      <family val="2"/>
      <sz val="9"/>
    </font>
    <font>
      <name val="Noto Sans CJK SC"/>
      <charset val="1"/>
      <family val="2"/>
      <color rgb="FF555555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8A6D1A"/>
      <sz val="10"/>
    </font>
    <font>
      <name val="돋움"/>
      <charset val="129"/>
      <family val="3"/>
      <sz val="8"/>
    </font>
    <font>
      <name val="Calibri"/>
      <family val="2"/>
      <b val="1"/>
      <color rgb="FF1F4E79"/>
      <sz val="13"/>
    </font>
    <font>
      <name val="Calibri"/>
      <family val="2"/>
      <i val="1"/>
      <color rgb="FF595959"/>
      <sz val="9"/>
    </font>
    <font>
      <name val="Calibri"/>
      <family val="2"/>
      <b val="1"/>
      <color rgb="FFFFFFFF"/>
      <sz val="11"/>
    </font>
    <font>
      <name val="Calibri"/>
      <family val="2"/>
      <sz val="9"/>
    </font>
  </fonts>
  <fills count="23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F2F6FB"/>
      </patternFill>
    </fill>
    <fill>
      <patternFill patternType="solid">
        <fgColor rgb="FFDDEBF7"/>
        <bgColor rgb="FFE2EFDA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5CD"/>
      </patternFill>
    </fill>
    <fill>
      <patternFill patternType="solid">
        <fgColor rgb="FFF2F6FB"/>
        <bgColor rgb="FFF2F2F2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EEF3F7"/>
      </patternFill>
    </fill>
    <fill>
      <patternFill patternType="solid">
        <fgColor rgb="FFD9D9D9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/>
      <diagonal/>
    </border>
    <border>
      <left/>
      <right/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9" fontId="24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left" vertical="center" wrapText="1"/>
    </xf>
    <xf numFmtId="0" fontId="22" fillId="2" borderId="1" applyAlignment="1" pivotButton="0" quotePrefix="0" xfId="0">
      <alignment horizontal="center" vertical="center"/>
    </xf>
    <xf numFmtId="9" fontId="22" fillId="2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center" vertical="center"/>
    </xf>
    <xf numFmtId="0" fontId="25" fillId="13" borderId="1" applyAlignment="1" pivotButton="0" quotePrefix="0" xfId="0">
      <alignment horizontal="center" vertical="center"/>
    </xf>
    <xf numFmtId="0" fontId="30" fillId="15" borderId="8" applyAlignment="1" pivotButton="0" quotePrefix="0" xfId="0">
      <alignment horizontal="left" vertical="center"/>
    </xf>
    <xf numFmtId="0" fontId="30" fillId="0" borderId="8" applyAlignment="1" pivotButton="0" quotePrefix="0" xfId="0">
      <alignment horizontal="center" vertical="center"/>
    </xf>
    <xf numFmtId="9" fontId="31" fillId="0" borderId="8" applyAlignment="1" pivotButton="0" quotePrefix="0" xfId="0">
      <alignment horizontal="center" vertical="center"/>
    </xf>
    <xf numFmtId="0" fontId="30" fillId="0" borderId="0" pivotButton="0" quotePrefix="0" xfId="0"/>
    <xf numFmtId="0" fontId="10" fillId="16" borderId="1" applyAlignment="1" pivotButton="0" quotePrefix="0" xfId="0">
      <alignment horizontal="center" vertical="center"/>
    </xf>
    <xf numFmtId="9" fontId="30" fillId="13" borderId="8" applyAlignment="1" pivotButton="0" quotePrefix="0" xfId="0">
      <alignment horizontal="center" vertical="center"/>
    </xf>
    <xf numFmtId="9" fontId="30" fillId="12" borderId="8" applyAlignment="1" pivotButton="0" quotePrefix="0" xfId="0">
      <alignment horizontal="center" vertical="center"/>
    </xf>
    <xf numFmtId="9" fontId="30" fillId="11" borderId="8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29" fillId="14" borderId="8" applyAlignment="1" pivotButton="0" quotePrefix="0" xfId="0">
      <alignment horizontal="center" vertical="center"/>
    </xf>
    <xf numFmtId="164" fontId="22" fillId="2" borderId="1" applyAlignment="1" pivotButton="0" quotePrefix="0" xfId="0">
      <alignment horizontal="center" vertical="center"/>
    </xf>
    <xf numFmtId="0" fontId="33" fillId="0" borderId="0" pivotButton="0" quotePrefix="0" xfId="0"/>
    <xf numFmtId="0" fontId="34" fillId="0" borderId="0" pivotButton="0" quotePrefix="0" xfId="0"/>
    <xf numFmtId="0" fontId="35" fillId="17" borderId="9" applyAlignment="1" pivotButton="0" quotePrefix="0" xfId="0">
      <alignment horizontal="center" vertical="center" wrapText="1"/>
    </xf>
    <xf numFmtId="0" fontId="0" fillId="18" borderId="9" applyAlignment="1" pivotButton="0" quotePrefix="0" xfId="0">
      <alignment horizontal="center" vertical="center"/>
    </xf>
    <xf numFmtId="0" fontId="36" fillId="18" borderId="9" applyAlignment="1" pivotButton="0" quotePrefix="0" xfId="0">
      <alignment vertical="center" wrapText="1"/>
    </xf>
    <xf numFmtId="0" fontId="0" fillId="19" borderId="9" applyAlignment="1" pivotButton="0" quotePrefix="0" xfId="0">
      <alignment horizontal="center" vertical="center"/>
    </xf>
    <xf numFmtId="0" fontId="36" fillId="19" borderId="9" applyAlignment="1" pivotButton="0" quotePrefix="0" xfId="0">
      <alignment vertical="center" wrapText="1"/>
    </xf>
    <xf numFmtId="0" fontId="0" fillId="20" borderId="9" applyAlignment="1" pivotButton="0" quotePrefix="0" xfId="0">
      <alignment horizontal="center" vertical="center"/>
    </xf>
    <xf numFmtId="0" fontId="36" fillId="20" borderId="9" applyAlignment="1" pivotButton="0" quotePrefix="0" xfId="0">
      <alignment vertical="center" wrapText="1"/>
    </xf>
    <xf numFmtId="0" fontId="0" fillId="21" borderId="9" applyAlignment="1" pivotButton="0" quotePrefix="0" xfId="0">
      <alignment horizontal="center" vertical="center"/>
    </xf>
    <xf numFmtId="0" fontId="36" fillId="21" borderId="9" applyAlignment="1" pivotButton="0" quotePrefix="0" xfId="0">
      <alignment vertical="center" wrapText="1"/>
    </xf>
    <xf numFmtId="0" fontId="4" fillId="1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11" fillId="9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8" fillId="3" borderId="2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17" fillId="0" borderId="3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7" pivotButton="0" quotePrefix="0" xfId="0"/>
    <xf numFmtId="9" fontId="16" fillId="9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15" fillId="9" borderId="2" applyAlignment="1" pivotButton="0" quotePrefix="0" xfId="0">
      <alignment horizontal="center" vertical="center"/>
    </xf>
    <xf numFmtId="0" fontId="28" fillId="14" borderId="0" applyAlignment="1" pivotButton="0" quotePrefix="0" xfId="0">
      <alignment horizontal="left" vertical="center"/>
    </xf>
    <xf numFmtId="0" fontId="27" fillId="9" borderId="2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0" fontId="29" fillId="14" borderId="8" applyAlignment="1" pivotButton="0" quotePrefix="0" xfId="0">
      <alignment horizontal="center" vertical="center"/>
    </xf>
    <xf numFmtId="0" fontId="21" fillId="2" borderId="1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22" borderId="9" applyAlignment="1" pivotButton="0" quotePrefix="0" xfId="0">
      <alignment horizontal="center" vertical="center"/>
    </xf>
    <xf numFmtId="0" fontId="36" fillId="22" borderId="9" applyAlignment="1" pivotButton="0" quotePrefix="0" xfId="0">
      <alignment vertical="center" wrapText="1"/>
    </xf>
    <xf numFmtId="164" fontId="22" fillId="2" borderId="1" applyAlignment="1" pivotButton="0" quotePrefix="0" xfId="0">
      <alignment horizontal="center" vertical="center"/>
    </xf>
    <xf numFmtId="0" fontId="29" fillId="14" borderId="1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9" fontId="30" fillId="0" borderId="11" applyAlignment="1" pivotButton="0" quotePrefix="0" xfId="0">
      <alignment horizontal="left" vertical="top" wrapText="1"/>
    </xf>
    <xf numFmtId="0" fontId="30" fillId="0" borderId="11" applyAlignment="1" pivotButton="0" quotePrefix="0" xfId="0">
      <alignment horizontal="left"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A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B"/>
      <rgbColor rgb="FFE2EFDA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49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3" customWidth="1" style="71" min="1" max="1"/>
    <col width="20" customWidth="1" style="71" min="2" max="2"/>
    <col width="16" customWidth="1" style="71" min="3" max="7"/>
    <col width="3" customWidth="1" style="71" min="8" max="8"/>
  </cols>
  <sheetData>
    <row r="2" ht="25.5" customHeight="1" s="71">
      <c r="B2" s="83" t="inlineStr">
        <is>
          <t>AI-Ready 메타데이터 표준 분석 카드 — 안내 및 등급 기준</t>
        </is>
      </c>
    </row>
    <row r="4" ht="15" customHeight="1" s="71">
      <c r="B4" s="84" t="inlineStr">
        <is>
          <t>TTA 「AI-Ready 표준 생태계 조성을 위한 표준화 전략 수립」 · PG606 중심 + 타 PG 표본 분석</t>
        </is>
      </c>
    </row>
    <row r="6" ht="21.75" customHeight="1" s="71">
      <c r="B6" s="76" t="inlineStr">
        <is>
          <t>1. 이 양식의 목적과 사용법</t>
        </is>
      </c>
    </row>
    <row r="7" ht="15" customHeight="1" s="71">
      <c r="B7" s="80" t="inlineStr">
        <is>
          <t>• 분석 대상 TG(타 PG) 기분석 9종을 같은 양식으로 분석해 증거 기반을 만든다(1344-P2는 PG606이므로 RG로 이관).</t>
        </is>
      </c>
    </row>
    <row r="8" ht="15" customHeight="1" s="71">
      <c r="B8" s="80" t="inlineStr">
        <is>
          <t>• 표준 1개당 ‘분석카드’ 1장을 작성한다. 빈 카드 시트를 복사해 표준별로 채운다.</t>
        </is>
      </c>
    </row>
    <row r="9" ht="15" customHeight="1" s="71">
      <c r="B9" s="80" t="inlineStr">
        <is>
          <t>• 카드는 두 축으로 본다 — A축(품질·정합성 결함)과 B축(AI-Ready 7개 구성요소 성숙도).</t>
        </is>
      </c>
    </row>
    <row r="10" ht="15" customHeight="1" s="71">
      <c r="B10" s="80" t="inlineStr">
        <is>
          <t>• 카드 작성 후, 7개 등급과 결함 수를 ‘종합매트릭스’ 시트에 전기(轉記)한다. 합계·성숙도·평균은 자동 계산된다.</t>
        </is>
      </c>
    </row>
    <row r="11" ht="15" customHeight="1" s="71">
      <c r="B11" s="80" t="inlineStr">
        <is>
          <t>• 매트릭스 하단의 구성요소별 평균이, 도메인을 막론하고 공통으로 비는 층을 드러낸다 → 수준 요건의 근거.</t>
        </is>
      </c>
    </row>
    <row r="13" ht="21.75" customHeight="1" s="71">
      <c r="B13" s="76" t="inlineStr">
        <is>
          <t>2. 역할 분담</t>
        </is>
      </c>
    </row>
    <row r="14" ht="15" customHeight="1" s="71">
      <c r="B14" s="1" t="inlineStr">
        <is>
          <t>담당</t>
        </is>
      </c>
      <c r="C14" s="82" t="inlineStr">
        <is>
          <t>책임 범위</t>
        </is>
      </c>
      <c r="D14" s="73" t="n"/>
      <c r="E14" s="73" t="n"/>
      <c r="F14" s="73" t="n"/>
      <c r="G14" s="73" t="n"/>
    </row>
    <row r="15" ht="30" customHeight="1" s="71">
      <c r="B15" s="2" t="inlineStr">
        <is>
          <t>선태 (PM·Cat.D)</t>
        </is>
      </c>
      <c r="C15" s="79" t="inlineStr">
        <is>
          <t>총괄·카드 프레임 조율, 결과 종합 → 제안 표준 ‘수준 요건’ 도출</t>
        </is>
      </c>
      <c r="D15" s="73" t="n"/>
      <c r="E15" s="73" t="n"/>
      <c r="F15" s="73" t="n"/>
      <c r="G15" s="73" t="n"/>
    </row>
    <row r="16" ht="30" customHeight="1" s="71">
      <c r="B16" s="2" t="inlineStr">
        <is>
          <t>김주섭 대표 (Cat.A)</t>
        </is>
      </c>
      <c r="C16" s="79" t="inlineStr">
        <is>
          <t>국내외 현황 — AI-Ready (메타)데이터 표준 동향, 검증 프로그램 라이선스 적용 현황</t>
        </is>
      </c>
      <c r="D16" s="73" t="n"/>
      <c r="E16" s="73" t="n"/>
      <c r="F16" s="73" t="n"/>
      <c r="G16" s="73" t="n"/>
    </row>
    <row r="17" ht="30" customHeight="1" s="71">
      <c r="B17" s="2" t="inlineStr">
        <is>
          <t>박천웅 박사 (Cat.B)</t>
        </is>
      </c>
      <c r="C17" s="81" t="inlineStr">
        <is>
          <t>TTA 제안·심의·제정·개정 프로세스 검토, A축 결함 패턴 → 프로세스 개선안</t>
        </is>
      </c>
      <c r="D17" s="73" t="n"/>
      <c r="E17" s="73" t="n"/>
      <c r="F17" s="73" t="n"/>
      <c r="G17" s="73" t="n"/>
    </row>
    <row r="18" ht="30" customHeight="1" s="71">
      <c r="B18" s="2" t="inlineStr">
        <is>
          <t>김장원 교수 (Cat.C)</t>
        </is>
      </c>
      <c r="C18" s="81" t="inlineStr">
        <is>
          <t>2027 개발 로드맵(제안 SW·자동 검토·공동 어휘 제안·검증 자동생성), 기술적 수준 요건</t>
        </is>
      </c>
      <c r="D18" s="73" t="n"/>
      <c r="E18" s="73" t="n"/>
      <c r="F18" s="73" t="n"/>
      <c r="G18" s="73" t="n"/>
    </row>
    <row r="20" ht="21.75" customHeight="1" s="71">
      <c r="B20" s="76" t="inlineStr">
        <is>
          <t>3. A축 — 품질·정합성 결함 점검 항목</t>
        </is>
      </c>
    </row>
    <row r="21" ht="15" customHeight="1" s="71">
      <c r="B21" s="3" t="inlineStr">
        <is>
          <t>결함 유형</t>
        </is>
      </c>
      <c r="C21" s="82" t="inlineStr">
        <is>
          <t>의미 / 예시 (1530 기준)</t>
        </is>
      </c>
      <c r="D21" s="73" t="n"/>
      <c r="E21" s="73" t="n"/>
      <c r="F21" s="73" t="n"/>
      <c r="G21" s="73" t="n"/>
    </row>
    <row r="22" ht="30" customHeight="1" s="71">
      <c r="B22" s="2" t="inlineStr">
        <is>
          <t>데이터 타입 정의 오류</t>
        </is>
      </c>
      <c r="C22" s="81" t="inlineStr">
        <is>
          <t>XML Schema 등 타입 정의가 사실과 다름. 예: xs:short를 8비트·–32768~32768로 기술(실제 16비트·–32768~32767)</t>
        </is>
      </c>
      <c r="D22" s="73" t="n"/>
      <c r="E22" s="73" t="n"/>
      <c r="F22" s="73" t="n"/>
      <c r="G22" s="73" t="n"/>
    </row>
    <row r="23" ht="30" customHeight="1" s="71">
      <c r="B23" s="2" t="inlineStr">
        <is>
          <t>단위 표기 모호성</t>
        </is>
      </c>
      <c r="C23" s="79" t="inlineStr">
        <is>
          <t>단위가 표시용 코드뿐이거나 한 항목에 복수 단위 혼재. 예: ValueUnit 코드, 미사용 단위 0x0B ‘m/L’</t>
        </is>
      </c>
      <c r="D23" s="73" t="n"/>
      <c r="E23" s="73" t="n"/>
      <c r="F23" s="73" t="n"/>
      <c r="G23" s="73" t="n"/>
    </row>
    <row r="24" ht="30" customHeight="1" s="71">
      <c r="B24" s="2" t="inlineStr">
        <is>
          <t>인용/준용표준 분류 오류</t>
        </is>
      </c>
      <c r="C24" s="79" t="inlineStr">
        <is>
          <t>규범적 의존이 있는데 ‘인용표준 없음’으로 표기. 예: 5장이 W3C XML Schema·IEEE 754에 의존</t>
        </is>
      </c>
      <c r="D24" s="73" t="n"/>
      <c r="E24" s="73" t="n"/>
      <c r="F24" s="73" t="n"/>
      <c r="G24" s="73" t="n"/>
    </row>
    <row r="25" ht="30" customHeight="1" s="71">
      <c r="B25" s="2" t="inlineStr">
        <is>
          <t>코드/enum 정의 오류</t>
        </is>
      </c>
      <c r="C25" s="79" t="inlineStr">
        <is>
          <t>코드표 헤더·값 오류. 예: InstallStatus 코드표 헤더가 ‘센싱값 타입’(→‘설치 상태’)</t>
        </is>
      </c>
      <c r="D25" s="73" t="n"/>
      <c r="E25" s="73" t="n"/>
      <c r="F25" s="73" t="n"/>
      <c r="G25" s="73" t="n"/>
    </row>
    <row r="26" ht="30" customHeight="1" s="71">
      <c r="B26" s="2" t="inlineStr">
        <is>
          <t>오타·표기 불일치</t>
        </is>
      </c>
      <c r="C26" s="79" t="inlineStr">
        <is>
          <t>오탈자. 예: ‘조사’→‘소자’, ‘종유’→‘종류’</t>
        </is>
      </c>
      <c r="D26" s="73" t="n"/>
      <c r="E26" s="73" t="n"/>
      <c r="F26" s="73" t="n"/>
      <c r="G26" s="73" t="n"/>
    </row>
    <row r="27" ht="30" customHeight="1" s="71">
      <c r="B27" s="2" t="inlineStr">
        <is>
          <t>내부 일관성</t>
        </is>
      </c>
      <c r="C27" s="79" t="inlineStr">
        <is>
          <t>약어·명칭 등 불일치. 예: 약어 ‘없음’이나 본문 다수 사용; 표6-1 명칭 표기 누락</t>
        </is>
      </c>
      <c r="D27" s="73" t="n"/>
      <c r="E27" s="73" t="n"/>
      <c r="F27" s="73" t="n"/>
      <c r="G27" s="73" t="n"/>
    </row>
    <row r="28" ht="30" customHeight="1" s="71">
      <c r="B28" s="2" t="inlineStr">
        <is>
          <t>기타</t>
        </is>
      </c>
      <c r="C28" s="79" t="inlineStr">
        <is>
          <t>위 분류에 없는 결함</t>
        </is>
      </c>
      <c r="D28" s="73" t="n"/>
      <c r="E28" s="73" t="n"/>
      <c r="F28" s="73" t="n"/>
      <c r="G28" s="73" t="n"/>
    </row>
    <row r="30" ht="21.75" customHeight="1" s="71">
      <c r="B30" s="76" t="inlineStr">
        <is>
          <t>4. B축 — AI-Ready 7개 구성요소 등급 기준 (0 / 1 / 2)</t>
        </is>
      </c>
    </row>
    <row r="31" ht="15" customHeight="1" s="71">
      <c r="B31" s="3" t="inlineStr">
        <is>
          <t>구성요소</t>
        </is>
      </c>
      <c r="C31" s="1" t="inlineStr">
        <is>
          <t>구분</t>
        </is>
      </c>
      <c r="D31" s="4" t="inlineStr">
        <is>
          <t>0 (미충족)</t>
        </is>
      </c>
      <c r="E31" s="4" t="inlineStr">
        <is>
          <t>1 (부분)</t>
        </is>
      </c>
      <c r="F31" s="77" t="inlineStr">
        <is>
          <t>2 (충족)</t>
        </is>
      </c>
      <c r="G31" s="73" t="n"/>
    </row>
    <row r="32" ht="33.75" customHeight="1" s="71">
      <c r="B32" s="2" t="inlineStr">
        <is>
          <t>시맨틱</t>
        </is>
      </c>
      <c r="C32" s="5" t="inlineStr">
        <is>
          <t>전환</t>
        </is>
      </c>
      <c r="D32" s="6" t="inlineStr">
        <is>
          <t>의미·상하/포함 관계가 산문·로컬 코드, IRI 없음</t>
        </is>
      </c>
      <c r="E32" s="7" t="inlineStr">
        <is>
          <t>일부 개념만 전역 어휘 연결</t>
        </is>
      </c>
      <c r="F32" s="75" t="inlineStr">
        <is>
          <t>의미+상하·포함 관계가 전역 IRI(skos:broader·dct:hasPart 등)에 바인딩</t>
        </is>
      </c>
      <c r="G32" s="73" t="n"/>
    </row>
    <row r="33" ht="33.75" customHeight="1" s="71">
      <c r="B33" s="2" t="inlineStr">
        <is>
          <t>데이터 모델</t>
        </is>
      </c>
      <c r="C33" s="5" t="inlineStr">
        <is>
          <t>전환</t>
        </is>
      </c>
      <c r="D33" s="6" t="inlineStr">
        <is>
          <t>값 유형·제약·반복 미정의/산문</t>
        </is>
      </c>
      <c r="E33" s="7" t="inlineStr">
        <is>
          <t>표로 값 유형·필수·반복 정리</t>
        </is>
      </c>
      <c r="F33" s="75" t="inlineStr">
        <is>
          <t>기계검증 스키마(XSD·SHACL·JSON Schema)로 형식화</t>
        </is>
      </c>
      <c r="G33" s="73" t="n"/>
    </row>
    <row r="34" ht="33.75" customHeight="1" s="71">
      <c r="B34" s="2" t="inlineStr">
        <is>
          <t>신태틱</t>
        </is>
      </c>
      <c r="C34" s="5" t="inlineStr">
        <is>
          <t>전환</t>
        </is>
      </c>
      <c r="D34" s="6" t="inlineStr">
        <is>
          <t>직렬화 규범 없음/임의</t>
        </is>
      </c>
      <c r="E34" s="7" t="inlineStr">
        <is>
          <t>형식 언급은 있으나 비규범</t>
        </is>
      </c>
      <c r="F34" s="72" t="inlineStr">
        <is>
          <t>JSON-LD/RDF 등 규범 직렬화 제공</t>
        </is>
      </c>
      <c r="G34" s="73" t="n"/>
    </row>
    <row r="35" ht="33.75" customHeight="1" s="71">
      <c r="B35" s="2" t="inlineStr">
        <is>
          <t>운영 시맨틱</t>
        </is>
      </c>
      <c r="C35" s="8" t="inlineStr">
        <is>
          <t>신규</t>
        </is>
      </c>
      <c r="D35" s="6" t="inlineStr">
        <is>
          <t>ML 사용(split·feature/label) 미선언 — ML 대상인데 비어 있음</t>
        </is>
      </c>
      <c r="E35" s="7" t="inlineStr">
        <is>
          <t>split 등 일부를 산문으로 기술</t>
        </is>
      </c>
      <c r="F35" s="75" t="inlineStr">
        <is>
          <t>Croissant로 split·feature/label 형식 선언  (ML 비대상 표준은 N/A)</t>
        </is>
      </c>
      <c r="G35" s="73" t="n"/>
    </row>
    <row r="36" ht="33.75" customHeight="1" s="71">
      <c r="B36" s="2" t="inlineStr">
        <is>
          <t>출처/계보</t>
        </is>
      </c>
      <c r="C36" s="8" t="inlineStr">
        <is>
          <t>신규</t>
        </is>
      </c>
      <c r="D36" s="6" t="inlineStr">
        <is>
          <t>출처 정보 흩어짐/부재</t>
        </is>
      </c>
      <c r="E36" s="7" t="inlineStr">
        <is>
          <t>일부 출처 필드 존재</t>
        </is>
      </c>
      <c r="F36" s="72" t="inlineStr">
        <is>
          <t>PROV-O로 계보 형식화 (EU AI Act Art.10 대응)</t>
        </is>
      </c>
      <c r="G36" s="73" t="n"/>
    </row>
    <row r="37" ht="33.75" customHeight="1" s="71">
      <c r="B37" s="2" t="inlineStr">
        <is>
          <t>품질 프로파일</t>
        </is>
      </c>
      <c r="C37" s="8" t="inlineStr">
        <is>
          <t>신규</t>
        </is>
      </c>
      <c r="D37" s="6" t="inlineStr">
        <is>
          <t>품질 신호가 enum 코드뿐</t>
        </is>
      </c>
      <c r="E37" s="7" t="inlineStr">
        <is>
          <t>일부 품질 표기</t>
        </is>
      </c>
      <c r="F37" s="72" t="inlineStr">
        <is>
          <t>ISO/IEC 5259-2·25012 기준을 DQV·SHACL로 표현</t>
        </is>
      </c>
      <c r="G37" s="73" t="n"/>
    </row>
    <row r="38" ht="33.75" customHeight="1" s="71">
      <c r="B38" s="2" t="inlineStr">
        <is>
          <t>접근/사용 제약</t>
        </is>
      </c>
      <c r="C38" s="8" t="inlineStr">
        <is>
          <t>신규</t>
        </is>
      </c>
      <c r="D38" s="6" t="inlineStr">
        <is>
          <t>라이선스·접근권 메타데이터 부재</t>
        </is>
      </c>
      <c r="E38" s="7" t="inlineStr">
        <is>
          <t>문서 수준 저작권만</t>
        </is>
      </c>
      <c r="F38" s="72" t="inlineStr">
        <is>
          <t>DUO·ODRL 2.2·CC URI로 데이터 수준 명시</t>
        </is>
      </c>
      <c r="G38" s="73" t="n"/>
    </row>
    <row r="40" ht="21.75" customHeight="1" s="71">
      <c r="B40" s="74" t="inlineStr">
        <is>
          <t>성숙도 = 등급 합계 ÷ (적용 구성요소 수 × 2). 운영 시맨틱이 N/A(비-ML 표준)면 분모 12, 그 외 14. 운영 시맨틱은 ‘ML 사용 방식(split·feature/label)’으로, ML 학습·검증 데이터를 기술하는 표준에만 적용한다(Croissant 1.0 ML 계층 기준).</t>
        </is>
      </c>
      <c r="C40" s="73" t="n"/>
      <c r="D40" s="73" t="n"/>
      <c r="E40" s="73" t="n"/>
      <c r="F40" s="73" t="n"/>
      <c r="G40" s="73" t="n"/>
    </row>
    <row r="42" ht="21.75" customHeight="1" s="71">
      <c r="B42" s="78" t="inlineStr">
        <is>
          <t>5. 발견(Y/N/N·A) 표기와 자동검사 표기 기준</t>
        </is>
      </c>
    </row>
    <row r="43" ht="30" customHeight="1" s="71">
      <c r="B43" s="70" t="inlineStr">
        <is>
          <t>• 발견:  Y = 해당 유형 결함이 있음   |   N = 검사 대상은 표준에 있으나 결함이 없음(검사 통과)   |   N/A = 해당 유형 자체가 표준에 없어 적용 대상이 아님</t>
        </is>
      </c>
    </row>
    <row r="44" ht="30" customHeight="1" s="71">
      <c r="B44" s="70" t="inlineStr">
        <is>
          <t>• 결함 발견 수는 Y만 집계한다(COUNTIF). N과 N/A는 결함이 아니므로 세지 않으며, 둘을 구분해 ‘통과’와 ‘비해당’을 분리한다.</t>
        </is>
      </c>
    </row>
    <row r="45" ht="30" customHeight="1" s="71">
      <c r="B45" s="70" t="inlineStr">
        <is>
          <t>• 자동검사(발견 Y인 행만): 예 = 규칙만 정하면 기계가 확실히 탐지   |   부분 = 기계가 후보 제시·최종 판단은 사람   |   아니오 = 자동화 어려움·전문가 판단   |   — = 해당 없음(Y가 아닌 행)</t>
        </is>
      </c>
    </row>
    <row r="47" ht="21.75" customHeight="1" s="71">
      <c r="B47" s="78" t="inlineStr">
        <is>
          <t>6. 참고 — A축의 ‘품질·정합성’과 B축의 ‘품질 프로파일’ 구분</t>
        </is>
      </c>
    </row>
    <row r="48" ht="46" customHeight="1" s="71">
      <c r="B48" s="70" t="inlineStr">
        <is>
          <t>• A축 ‘품질’ = 교정·감수 관점. 타입 정의가 틀렸나, 오타가 있나, 인용표준을 잘못 분류했나, 약어가 본문과 안 맞나… ‘문서의 흠집’을 찾는 것이다. ‘품질·정합성’은 축 이름일 뿐, 7개 점검항목 중 ‘품질 프로파일’이라는 항목은 없다.</t>
        </is>
      </c>
    </row>
    <row r="49" ht="46" customHeight="1" s="71">
      <c r="B49" s="70" t="inlineStr">
        <is>
          <t>• B축 ‘품질 프로파일’ = AI-Ready 관점의 7개 구성요소 중 하나. ‘이 데이터가 얼마나 정확한지·결측이 얼마인지·대표성이 있는지’를 dqv:Dimension·dqv:QualityMeasurement 같은 형식 어휘로 붙여 두었는가를 본다.</t>
        </is>
      </c>
    </row>
  </sheetData>
  <mergeCells count="40">
    <mergeCell ref="B2:G2"/>
    <mergeCell ref="B42:G42"/>
    <mergeCell ref="C24:G24"/>
    <mergeCell ref="C15:G15"/>
    <mergeCell ref="F34:G34"/>
    <mergeCell ref="B8:G8"/>
    <mergeCell ref="B13:G13"/>
    <mergeCell ref="C14:G14"/>
    <mergeCell ref="B44:G44"/>
    <mergeCell ref="C26:G26"/>
    <mergeCell ref="B10:G10"/>
    <mergeCell ref="C16:G16"/>
    <mergeCell ref="B9:G9"/>
    <mergeCell ref="C25:G25"/>
    <mergeCell ref="F33:G33"/>
    <mergeCell ref="B49:G49"/>
    <mergeCell ref="F36:G36"/>
    <mergeCell ref="B40:G40"/>
    <mergeCell ref="F32:G32"/>
    <mergeCell ref="C22:G22"/>
    <mergeCell ref="B30:G30"/>
    <mergeCell ref="F35:G35"/>
    <mergeCell ref="B6:G6"/>
    <mergeCell ref="B20:G20"/>
    <mergeCell ref="C21:G21"/>
    <mergeCell ref="F38:G38"/>
    <mergeCell ref="B45:G45"/>
    <mergeCell ref="C27:G27"/>
    <mergeCell ref="B4:G4"/>
    <mergeCell ref="F31:G31"/>
    <mergeCell ref="C23:G23"/>
    <mergeCell ref="B7:G7"/>
    <mergeCell ref="C17:G17"/>
    <mergeCell ref="B47:G47"/>
    <mergeCell ref="F37:G37"/>
    <mergeCell ref="C28:G28"/>
    <mergeCell ref="B43:G43"/>
    <mergeCell ref="B48:G48"/>
    <mergeCell ref="C18:G18"/>
    <mergeCell ref="B11:G11"/>
  </mergeCells>
  <pageMargins left="0.3" right="0.3" top="0.4" bottom="0.4" header="0.511811023622047" footer="0.511811023622047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3" customWidth="1" style="71" min="1" max="1"/>
    <col width="20" customWidth="1" style="71" min="2" max="2"/>
    <col width="11" customWidth="1" style="71" min="3" max="3"/>
    <col width="24" customWidth="1" style="71" min="4" max="4"/>
    <col width="18" customWidth="1" style="71" min="5" max="5"/>
    <col width="16" customWidth="1" style="71" min="6" max="6"/>
    <col width="3" customWidth="1" style="71" min="7" max="7"/>
  </cols>
  <sheetData>
    <row r="2" ht="24" customHeight="1" s="71">
      <c r="B2" s="87" t="inlineStr">
        <is>
          <t>AI-Ready 표준 분석 카드</t>
        </is>
      </c>
    </row>
    <row r="4" ht="15" customHeight="1" s="71">
      <c r="B4" s="86" t="inlineStr">
        <is>
          <t>■ 식별 정보</t>
        </is>
      </c>
      <c r="C4" s="73" t="n"/>
      <c r="D4" s="73" t="n"/>
      <c r="E4" s="73" t="n"/>
      <c r="F4" s="73" t="n"/>
    </row>
    <row r="5" ht="15" customHeight="1" s="71">
      <c r="B5" s="9" t="inlineStr">
        <is>
          <t>표준번호</t>
        </is>
      </c>
      <c r="C5" s="93" t="n"/>
      <c r="D5" s="94" t="n"/>
      <c r="E5" s="9" t="inlineStr">
        <is>
          <t>판수</t>
        </is>
      </c>
      <c r="F5" s="93" t="n"/>
    </row>
    <row r="6" ht="15" customHeight="1" s="71">
      <c r="B6" s="9" t="inlineStr">
        <is>
          <t>표준명</t>
        </is>
      </c>
      <c r="C6" s="93" t="n"/>
      <c r="D6" s="94" t="n"/>
      <c r="E6" s="9" t="inlineStr">
        <is>
          <t>제정일</t>
        </is>
      </c>
      <c r="F6" s="93" t="n"/>
    </row>
    <row r="7" ht="15" customHeight="1" s="71">
      <c r="B7" s="9" t="inlineStr">
        <is>
          <t>소관 PG</t>
        </is>
      </c>
      <c r="C7" s="93" t="n"/>
      <c r="D7" s="94" t="n"/>
      <c r="E7" s="9" t="inlineStr">
        <is>
          <t>최근 개정일</t>
        </is>
      </c>
      <c r="F7" s="93" t="n"/>
    </row>
    <row r="8" ht="15" customHeight="1" s="71">
      <c r="B8" s="9" t="inlineStr">
        <is>
          <t>도메인 분류</t>
        </is>
      </c>
      <c r="C8" s="93" t="n"/>
      <c r="D8" s="94" t="n"/>
      <c r="E8" s="9" t="inlineStr">
        <is>
          <t>분석 담당자</t>
        </is>
      </c>
      <c r="F8" s="93" t="n"/>
    </row>
    <row r="10" ht="16.5" customHeight="1" s="71">
      <c r="B10" s="92" t="inlineStr">
        <is>
          <t>■ A축 — 품질·정합성 결함 점검</t>
        </is>
      </c>
      <c r="C10" s="73" t="n"/>
      <c r="D10" s="73" t="n"/>
      <c r="E10" s="73" t="n"/>
      <c r="F10" s="73" t="n"/>
    </row>
    <row r="11" ht="15" customHeight="1" s="71">
      <c r="B11" s="3" t="inlineStr">
        <is>
          <t>결함 유형</t>
        </is>
      </c>
      <c r="C11" s="1" t="inlineStr">
        <is>
          <t>발견</t>
        </is>
      </c>
      <c r="D11" s="82" t="inlineStr">
        <is>
          <t>구체 사례</t>
        </is>
      </c>
      <c r="E11" s="73" t="n"/>
      <c r="F11" s="1" t="inlineStr">
        <is>
          <t>자동검사</t>
        </is>
      </c>
    </row>
    <row r="12" ht="30" customHeight="1" s="71">
      <c r="B12" s="2" t="inlineStr">
        <is>
          <t>데이터 타입 정의 오류</t>
        </is>
      </c>
      <c r="C12" s="17" t="n"/>
      <c r="D12" s="85" t="n"/>
      <c r="E12" s="73" t="n"/>
      <c r="F12" s="18" t="n"/>
    </row>
    <row r="13" ht="30" customHeight="1" s="71">
      <c r="B13" s="2" t="inlineStr">
        <is>
          <t>단위 표기 모호성</t>
        </is>
      </c>
      <c r="C13" s="17" t="n"/>
      <c r="D13" s="85" t="n"/>
      <c r="E13" s="73" t="n"/>
      <c r="F13" s="18" t="n"/>
    </row>
    <row r="14" ht="30" customHeight="1" s="71">
      <c r="B14" s="2" t="inlineStr">
        <is>
          <t>인용/준용표준 분류 오류</t>
        </is>
      </c>
      <c r="C14" s="17" t="n"/>
      <c r="D14" s="85" t="n"/>
      <c r="E14" s="73" t="n"/>
      <c r="F14" s="18" t="n"/>
    </row>
    <row r="15" ht="30" customHeight="1" s="71">
      <c r="B15" s="2" t="inlineStr">
        <is>
          <t>코드/enum 정의 오류</t>
        </is>
      </c>
      <c r="C15" s="17" t="n"/>
      <c r="D15" s="85" t="n"/>
      <c r="E15" s="73" t="n"/>
      <c r="F15" s="18" t="n"/>
    </row>
    <row r="16" ht="30" customHeight="1" s="71">
      <c r="B16" s="2" t="inlineStr">
        <is>
          <t>오타·표기 불일치</t>
        </is>
      </c>
      <c r="C16" s="17" t="n"/>
      <c r="D16" s="85" t="n"/>
      <c r="E16" s="73" t="n"/>
      <c r="F16" s="18" t="n"/>
    </row>
    <row r="17" ht="30" customHeight="1" s="71">
      <c r="B17" s="2" t="inlineStr">
        <is>
          <t>내부 일관성</t>
        </is>
      </c>
      <c r="C17" s="17" t="n"/>
      <c r="D17" s="85" t="n"/>
      <c r="E17" s="73" t="n"/>
      <c r="F17" s="18" t="n"/>
    </row>
    <row r="18" ht="30" customHeight="1" s="71">
      <c r="B18" s="2" t="inlineStr">
        <is>
          <t>기타</t>
        </is>
      </c>
      <c r="C18" s="17" t="n"/>
      <c r="D18" s="85" t="n"/>
      <c r="E18" s="73" t="n"/>
      <c r="F18" s="18" t="n"/>
    </row>
    <row r="19" ht="15" customHeight="1" s="71">
      <c r="B19" s="12" t="inlineStr">
        <is>
          <t>결함 발견 수 (Y)</t>
        </is>
      </c>
      <c r="C19" s="95">
        <f>COUNTIF(C12:C18,"Y")</f>
        <v/>
      </c>
      <c r="D19" s="73" t="n"/>
      <c r="E19" s="73" t="n"/>
      <c r="F19" s="73" t="n"/>
    </row>
    <row r="21" ht="16.5" customHeight="1" s="71">
      <c r="B21" s="92" t="inlineStr">
        <is>
          <t>■ B축 — AI-Ready 7개 구성요소 성숙도</t>
        </is>
      </c>
      <c r="C21" s="73" t="n"/>
      <c r="D21" s="73" t="n"/>
      <c r="E21" s="73" t="n"/>
      <c r="F21" s="73" t="n"/>
    </row>
    <row r="22" ht="15" customHeight="1" s="71">
      <c r="B22" s="3" t="inlineStr">
        <is>
          <t>구성요소</t>
        </is>
      </c>
      <c r="C22" s="1" t="inlineStr">
        <is>
          <t>등급(0/1/2)</t>
        </is>
      </c>
      <c r="D22" s="3" t="inlineStr">
        <is>
          <t>근거</t>
        </is>
      </c>
      <c r="E22" s="82" t="inlineStr">
        <is>
          <t>충족 위한 매핑 대상</t>
        </is>
      </c>
      <c r="F22" s="73" t="n"/>
    </row>
    <row r="23" ht="31.5" customHeight="1" s="71">
      <c r="B23" s="2" t="inlineStr">
        <is>
          <t>시맨틱</t>
        </is>
      </c>
      <c r="C23" s="19" t="n"/>
      <c r="D23" s="20" t="n"/>
      <c r="E23" s="85" t="n"/>
      <c r="F23" s="73" t="n"/>
    </row>
    <row r="24" ht="31.5" customHeight="1" s="71">
      <c r="B24" s="2" t="inlineStr">
        <is>
          <t>데이터 모델</t>
        </is>
      </c>
      <c r="C24" s="19" t="n"/>
      <c r="D24" s="20" t="n"/>
      <c r="E24" s="85" t="n"/>
      <c r="F24" s="73" t="n"/>
    </row>
    <row r="25" ht="31.5" customHeight="1" s="71">
      <c r="B25" s="2" t="inlineStr">
        <is>
          <t>신태틱</t>
        </is>
      </c>
      <c r="C25" s="19" t="n"/>
      <c r="D25" s="20" t="n"/>
      <c r="E25" s="85" t="n"/>
      <c r="F25" s="73" t="n"/>
    </row>
    <row r="26" ht="31.5" customHeight="1" s="71">
      <c r="B26" s="2" t="inlineStr">
        <is>
          <t>운영 시맨틱</t>
        </is>
      </c>
      <c r="C26" s="19" t="n"/>
      <c r="D26" s="20" t="n"/>
      <c r="E26" s="85" t="n"/>
      <c r="F26" s="73" t="n"/>
    </row>
    <row r="27" ht="31.5" customHeight="1" s="71">
      <c r="B27" s="2" t="inlineStr">
        <is>
          <t>출처/계보</t>
        </is>
      </c>
      <c r="C27" s="19" t="n"/>
      <c r="D27" s="20" t="n"/>
      <c r="E27" s="85" t="n"/>
      <c r="F27" s="73" t="n"/>
    </row>
    <row r="28" ht="31.5" customHeight="1" s="71">
      <c r="B28" s="2" t="inlineStr">
        <is>
          <t>품질 프로파일</t>
        </is>
      </c>
      <c r="C28" s="19" t="n"/>
      <c r="D28" s="20" t="n"/>
      <c r="E28" s="85" t="n"/>
      <c r="F28" s="73" t="n"/>
    </row>
    <row r="29" ht="31.5" customHeight="1" s="71">
      <c r="B29" s="2" t="inlineStr">
        <is>
          <t>접근/사용 제약</t>
        </is>
      </c>
      <c r="C29" s="19" t="n"/>
      <c r="D29" s="20" t="n"/>
      <c r="E29" s="85" t="n"/>
      <c r="F29" s="73" t="n"/>
    </row>
    <row r="30" ht="15" customHeight="1" s="71">
      <c r="B30" s="12" t="inlineStr">
        <is>
          <t>성숙도 점수</t>
        </is>
      </c>
      <c r="C30" s="91">
        <f>IF(COUNT(C23:C29)=0,"",SUM(C23:C29)/14)</f>
        <v/>
      </c>
      <c r="D30" s="73" t="n"/>
      <c r="E30" s="73" t="n"/>
      <c r="F30" s="73" t="n"/>
    </row>
    <row r="32" ht="16.5" customHeight="1" s="71">
      <c r="B32" s="86" t="inlineStr">
        <is>
          <t>■ 종합 — 가장 시급한 개선 1~2개</t>
        </is>
      </c>
      <c r="C32" s="73" t="n"/>
      <c r="D32" s="73" t="n"/>
      <c r="E32" s="73" t="n"/>
      <c r="F32" s="73" t="n"/>
    </row>
    <row r="33" ht="21.75" customHeight="1" s="71">
      <c r="B33" s="88" t="n"/>
      <c r="C33" s="89" t="n"/>
      <c r="D33" s="89" t="n"/>
      <c r="E33" s="89" t="n"/>
      <c r="F33" s="89" t="n"/>
    </row>
    <row r="34" ht="21.75" customHeight="1" s="71">
      <c r="B34" s="9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dataValidations count="3">
    <dataValidation sqref="C12:C18" showDropDown="0" showInputMessage="0" showErrorMessage="0" allowBlank="1" type="list">
      <formula1>"Y,N,N/A"</formula1>
      <formula2>0</formula2>
    </dataValidation>
    <dataValidation sqref="F12:F18" showDropDown="0" showInputMessage="0" showErrorMessage="0" allowBlank="1" type="list">
      <formula1>"예,부분,아니오,—"</formula1>
      <formula2>0</formula2>
    </dataValidation>
    <dataValidation sqref="C23:C29" showDropDown="0" showInputMessage="0" showErrorMessage="0" allowBlank="1" type="list">
      <formula1>"0,1,2"</formula1>
      <formula2>0</formula2>
    </dataValidation>
  </dataValidations>
  <pageMargins left="0.3" right="0.3" top="0.4" bottom="0.4" header="0.511811023622047" footer="0.511811023622047"/>
  <pageSetup orientation="landscape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topLeftCell="A16" zoomScale="130" zoomScaleNormal="130" workbookViewId="0">
      <selection activeCell="I28" sqref="I28"/>
    </sheetView>
  </sheetViews>
  <sheetFormatPr baseColWidth="8" defaultColWidth="8.6328125" defaultRowHeight="14.5"/>
  <cols>
    <col width="3" customWidth="1" style="71" min="1" max="1"/>
    <col width="16" customWidth="1" style="71" min="2" max="2"/>
    <col width="26" customWidth="1" style="71" min="3" max="3"/>
    <col width="8" customWidth="1" style="71" min="4" max="4"/>
    <col width="11" customWidth="1" style="71" min="5" max="5"/>
    <col width="8" customWidth="1" style="71" min="6" max="8"/>
    <col width="9" customWidth="1" style="71" min="9" max="9"/>
    <col width="8" customWidth="1" style="71" min="10" max="11"/>
    <col width="9" customWidth="1" style="71" min="12" max="12"/>
    <col width="8" customWidth="1" style="71" min="13" max="13"/>
    <col width="9" customWidth="1" style="71" min="14" max="15"/>
    <col width="3" customWidth="1" style="71" min="16" max="16"/>
  </cols>
  <sheetData>
    <row r="2" ht="16.5" customHeight="1" s="71">
      <c r="B2" s="98" t="inlineStr">
        <is>
          <t>종합 매트릭스 (TG=타 PG 표본) — 기분석 9종 × 7개 구성요소</t>
        </is>
      </c>
    </row>
    <row r="4" ht="23" customHeight="1" s="71">
      <c r="B4" s="21" t="inlineStr">
        <is>
          <t>표준번호</t>
        </is>
      </c>
      <c r="C4" s="21" t="inlineStr">
        <is>
          <t>표준명</t>
        </is>
      </c>
      <c r="D4" s="22" t="inlineStr">
        <is>
          <t>PG</t>
        </is>
      </c>
      <c r="E4" s="21" t="inlineStr">
        <is>
          <t>제정일</t>
        </is>
      </c>
      <c r="F4" s="21" t="inlineStr">
        <is>
          <t>시맨틱</t>
        </is>
      </c>
      <c r="G4" s="21" t="inlineStr">
        <is>
          <t>데이터
모델</t>
        </is>
      </c>
      <c r="H4" s="21" t="inlineStr">
        <is>
          <t>신태틱</t>
        </is>
      </c>
      <c r="I4" s="21" t="inlineStr">
        <is>
          <t>운영
시맨틱</t>
        </is>
      </c>
      <c r="J4" s="21" t="inlineStr">
        <is>
          <t>출처/
계보</t>
        </is>
      </c>
      <c r="K4" s="21" t="inlineStr">
        <is>
          <t>품질</t>
        </is>
      </c>
      <c r="L4" s="21" t="inlineStr">
        <is>
          <t>접근/
제약</t>
        </is>
      </c>
      <c r="M4" s="21" t="inlineStr">
        <is>
          <t>합계</t>
        </is>
      </c>
      <c r="N4" s="21" t="inlineStr">
        <is>
          <t>성숙도</t>
        </is>
      </c>
      <c r="O4" s="22" t="inlineStr">
        <is>
          <t>A축
결함수</t>
        </is>
      </c>
    </row>
    <row r="5" ht="23" customHeight="1" s="71">
      <c r="B5" s="23" t="inlineStr">
        <is>
          <t>TTAK.KO-10.1530</t>
        </is>
      </c>
      <c r="C5" s="16" t="inlineStr">
        <is>
          <t>유수식 스마트 수산양식 시스템의 센서 데이터 구조 ★</t>
        </is>
      </c>
      <c r="D5" s="24" t="inlineStr">
        <is>
          <t>PG426</t>
        </is>
      </c>
      <c r="E5" s="24" t="inlineStr">
        <is>
          <t>2024.12.06.</t>
        </is>
      </c>
      <c r="F5" s="38" t="n">
        <v>0</v>
      </c>
      <c r="G5" s="39" t="n">
        <v>1</v>
      </c>
      <c r="H5" s="26" t="n">
        <v>1</v>
      </c>
      <c r="I5" s="48" t="inlineStr">
        <is>
          <t>N/A</t>
        </is>
      </c>
      <c r="J5" s="25" t="n">
        <v>0</v>
      </c>
      <c r="K5" s="25" t="n">
        <v>0</v>
      </c>
      <c r="L5" s="25" t="n">
        <v>0</v>
      </c>
      <c r="M5" s="27">
        <f>IF(COUNT(F5:L5)=0,"",SUM(F5:L5))</f>
        <v/>
      </c>
      <c r="N5" s="28">
        <f>IF(M5="","",M5/(COUNT(F5:L5)*2))</f>
        <v/>
      </c>
      <c r="O5" s="24" t="n">
        <v>6</v>
      </c>
    </row>
    <row r="6" ht="34.5" customHeight="1" s="71">
      <c r="B6" s="29" t="inlineStr">
        <is>
          <t>TTAK.KO-10.1510</t>
        </is>
      </c>
      <c r="C6" s="30" t="inlineStr">
        <is>
          <t>디지털 국토정보 플랫폼의 데이터 연계를 위한 공통 데이터 모델 ★</t>
        </is>
      </c>
      <c r="D6" s="31" t="inlineStr">
        <is>
          <t>PG409</t>
        </is>
      </c>
      <c r="E6" s="31" t="inlineStr">
        <is>
          <t>2024.12.06</t>
        </is>
      </c>
      <c r="F6" s="41" t="n">
        <v>1</v>
      </c>
      <c r="G6" s="41" t="n">
        <v>2</v>
      </c>
      <c r="H6" s="26" t="n">
        <v>1</v>
      </c>
      <c r="I6" s="39" t="inlineStr">
        <is>
          <t>N/A</t>
        </is>
      </c>
      <c r="J6" s="32" t="n">
        <v>1</v>
      </c>
      <c r="K6" s="26" t="n">
        <v>0</v>
      </c>
      <c r="L6" s="33" t="n">
        <v>0</v>
      </c>
      <c r="M6" s="27">
        <f>IF(COUNT(F6:L6)=0,"",SUM(F6:L6))</f>
        <v/>
      </c>
      <c r="N6" s="28">
        <f>IF(M6="","",M6/(COUNT(F6:L6)*2))</f>
        <v/>
      </c>
      <c r="O6" s="31" t="n">
        <v>2</v>
      </c>
    </row>
    <row r="7" ht="23" customHeight="1" s="71">
      <c r="B7" s="29" t="inlineStr">
        <is>
          <t>TTAK.KO-11.0310</t>
        </is>
      </c>
      <c r="C7" s="34" t="inlineStr">
        <is>
          <t>JSON 형태의 자율주행 학습용 데이터 품질 검증 지침 — 정확성 및 다양성 ★</t>
        </is>
      </c>
      <c r="D7" s="31" t="inlineStr">
        <is>
          <t>PG604</t>
        </is>
      </c>
      <c r="E7" s="31" t="inlineStr">
        <is>
          <t>2022.12.07</t>
        </is>
      </c>
      <c r="F7" s="39" t="n">
        <v>0</v>
      </c>
      <c r="G7" s="39" t="n">
        <v>1</v>
      </c>
      <c r="H7" s="26" t="n">
        <v>1</v>
      </c>
      <c r="I7" s="48" t="inlineStr">
        <is>
          <t>N/A</t>
        </is>
      </c>
      <c r="J7" s="26" t="n">
        <v>0</v>
      </c>
      <c r="K7" s="25" t="n">
        <v>1</v>
      </c>
      <c r="L7" s="26" t="n">
        <v>0</v>
      </c>
      <c r="M7" s="27">
        <f>IF(COUNT(F7:L7)=0,"",SUM(F7:L7))</f>
        <v/>
      </c>
      <c r="N7" s="28">
        <f>IF(M7="","",M7/(COUNT(F7:L7)*2))</f>
        <v/>
      </c>
      <c r="O7" s="31" t="n">
        <v>1</v>
      </c>
    </row>
    <row r="8" ht="23" customHeight="1" s="71">
      <c r="B8" s="29" t="inlineStr">
        <is>
          <t>TTAK.KO-10.1291-Part1</t>
        </is>
      </c>
      <c r="C8" s="34" t="inlineStr">
        <is>
          <t>데이터맵 – 제1부: 데이터맵 어휘</t>
        </is>
      </c>
      <c r="D8" s="31" t="inlineStr">
        <is>
          <t>PG1004</t>
        </is>
      </c>
      <c r="E8" s="31" t="inlineStr">
        <is>
          <t>2021.06.30</t>
        </is>
      </c>
      <c r="F8" s="39" t="n">
        <v>2</v>
      </c>
      <c r="G8" s="41" t="n">
        <v>2</v>
      </c>
      <c r="H8" s="26" t="n">
        <v>2</v>
      </c>
      <c r="I8" s="48" t="inlineStr">
        <is>
          <t>N/A</t>
        </is>
      </c>
      <c r="J8" s="26" t="n">
        <v>1</v>
      </c>
      <c r="K8" s="25" t="n">
        <v>1</v>
      </c>
      <c r="L8" s="25" t="n">
        <v>0</v>
      </c>
      <c r="M8" s="27">
        <f>IF(COUNT(F8:L8)=0,"",SUM(F8:L8))</f>
        <v/>
      </c>
      <c r="N8" s="28">
        <f>IF(M8="","",M8/(COUNT(F8:L8)*2))</f>
        <v/>
      </c>
      <c r="O8" s="31" t="n">
        <v>5</v>
      </c>
    </row>
    <row r="9" ht="34.5" customHeight="1" s="71">
      <c r="B9" s="29" t="inlineStr">
        <is>
          <t>TTAE.IT-Y.3603</t>
        </is>
      </c>
      <c r="C9" s="30" t="inlineStr">
        <is>
          <t>빅데이터 – 데이터 카탈로그를 위한 메타데이터 요구사항 및 개념모델</t>
        </is>
      </c>
      <c r="D9" s="31" t="inlineStr">
        <is>
          <t>PG1004</t>
        </is>
      </c>
      <c r="E9" s="31" t="inlineStr">
        <is>
          <t>2023.12.06</t>
        </is>
      </c>
      <c r="F9" s="38" t="n">
        <v>2</v>
      </c>
      <c r="G9" s="39" t="n">
        <v>2</v>
      </c>
      <c r="H9" s="26" t="n">
        <v>2</v>
      </c>
      <c r="I9" s="38" t="inlineStr">
        <is>
          <t>N/A</t>
        </is>
      </c>
      <c r="J9" s="25" t="n">
        <v>1</v>
      </c>
      <c r="K9" s="26" t="n">
        <v>1</v>
      </c>
      <c r="L9" s="25" t="n">
        <v>2</v>
      </c>
      <c r="M9" s="27">
        <f>IF(COUNT(F9:L9)=0,"",SUM(F9:L9))</f>
        <v/>
      </c>
      <c r="N9" s="28">
        <f>IF(M9="","",M9/(COUNT(F9:L9)*2))</f>
        <v/>
      </c>
      <c r="O9" s="31" t="n">
        <v>4</v>
      </c>
    </row>
    <row r="10" ht="23" customHeight="1" s="71">
      <c r="B10" s="23" t="inlineStr">
        <is>
          <t>TTAK.KO-11.0326-Part6</t>
        </is>
      </c>
      <c r="C10" s="16" t="inlineStr">
        <is>
          <t>디지털 트윈 연합 - 제6부: 디지털 트윈 객체 데이터 모델</t>
        </is>
      </c>
      <c r="D10" s="24" t="inlineStr">
        <is>
          <t>PG609</t>
        </is>
      </c>
      <c r="E10" s="24" t="inlineStr">
        <is>
          <t>2023.12.06</t>
        </is>
      </c>
      <c r="F10" s="38" t="n">
        <v>1</v>
      </c>
      <c r="G10" s="39" t="n">
        <v>1</v>
      </c>
      <c r="H10" s="38" t="n">
        <v>1</v>
      </c>
      <c r="I10" s="39" t="inlineStr">
        <is>
          <t>N/A</t>
        </is>
      </c>
      <c r="J10" s="39" t="n">
        <v>1</v>
      </c>
      <c r="K10" s="39" t="n">
        <v>0</v>
      </c>
      <c r="L10" s="39" t="n">
        <v>0</v>
      </c>
      <c r="M10" s="27">
        <f>IF(COUNT(F10:L10)=0,"",SUM(F10:L10))</f>
        <v/>
      </c>
      <c r="N10" s="28">
        <f>IF(M10="","",M10/(COUNT(F10:L10)*2))</f>
        <v/>
      </c>
      <c r="O10" s="24" t="n">
        <v>5</v>
      </c>
    </row>
    <row r="11" ht="34.5" customHeight="1" s="71">
      <c r="B11" s="29" t="inlineStr">
        <is>
          <t>TTAK.KO-10.1419</t>
        </is>
      </c>
      <c r="C11" s="30" t="inlineStr">
        <is>
          <t>한국어 음성 및 텍스트 데이터의 의미적 정확성 품질검증 방법</t>
        </is>
      </c>
      <c r="D11" s="31" t="inlineStr">
        <is>
          <t>PG1005</t>
        </is>
      </c>
      <c r="E11" s="31" t="inlineStr">
        <is>
          <t>2023.06.30</t>
        </is>
      </c>
      <c r="F11" s="38" t="n">
        <v>0</v>
      </c>
      <c r="G11" s="39" t="n">
        <v>1</v>
      </c>
      <c r="H11" s="38" t="n">
        <v>1</v>
      </c>
      <c r="I11" s="38" t="inlineStr">
        <is>
          <t>N/A</t>
        </is>
      </c>
      <c r="J11" s="39" t="n">
        <v>0</v>
      </c>
      <c r="K11" s="39" t="n">
        <v>1</v>
      </c>
      <c r="L11" s="40" t="n">
        <v>1</v>
      </c>
      <c r="M11" s="27">
        <f>IF(COUNT(F11:L11)=0,"",SUM(F11:L11))</f>
        <v/>
      </c>
      <c r="N11" s="28">
        <f>IF(M11="","",M11/(COUNT(F11:L11)*2))</f>
        <v/>
      </c>
      <c r="O11" s="31" t="n">
        <v>3</v>
      </c>
    </row>
    <row r="12" ht="23" customHeight="1" s="71">
      <c r="B12" s="29" t="inlineStr">
        <is>
          <t>TTAK.KO-10.1561</t>
        </is>
      </c>
      <c r="C12" s="30" t="inlineStr">
        <is>
          <t>검증가능한 크리덴셜 기반 사용자 신원확인을 위한 프로파일</t>
        </is>
      </c>
      <c r="D12" s="31" t="inlineStr">
        <is>
          <t>PG1006</t>
        </is>
      </c>
      <c r="E12" s="31" t="inlineStr">
        <is>
          <t>2024.12.06</t>
        </is>
      </c>
      <c r="F12" s="38" t="n">
        <v>2</v>
      </c>
      <c r="G12" s="39" t="n">
        <v>1</v>
      </c>
      <c r="H12" s="38" t="n">
        <v>2</v>
      </c>
      <c r="I12" s="48" t="inlineStr">
        <is>
          <t>N/A</t>
        </is>
      </c>
      <c r="J12" s="39" t="n">
        <v>1</v>
      </c>
      <c r="K12" s="38" t="n">
        <v>0</v>
      </c>
      <c r="L12" s="40" t="n">
        <v>1</v>
      </c>
      <c r="M12" s="27">
        <f>IF(COUNT(F12:L12)=0,"",SUM(F12:L12))</f>
        <v/>
      </c>
      <c r="N12" s="28">
        <f>IF(M12="","",M12/(COUNT(F12:L12)*2))</f>
        <v/>
      </c>
      <c r="O12" s="31" t="n">
        <v>5</v>
      </c>
    </row>
    <row r="13" ht="23" customHeight="1" s="71">
      <c r="B13" s="29" t="inlineStr">
        <is>
          <t>TTAK.KO-10.1500</t>
        </is>
      </c>
      <c r="C13" s="30" t="inlineStr">
        <is>
          <t>대체 불가능 토큰(NFT)의 디지털 콘텐츠 저작권 정보 확인 명세</t>
        </is>
      </c>
      <c r="D13" s="31" t="inlineStr">
        <is>
          <t>PG1006</t>
        </is>
      </c>
      <c r="E13" s="31" t="inlineStr">
        <is>
          <t>2023.12.06</t>
        </is>
      </c>
      <c r="F13" s="38" t="n">
        <v>0</v>
      </c>
      <c r="G13" s="39" t="n">
        <v>1</v>
      </c>
      <c r="H13" s="38" t="n">
        <v>1</v>
      </c>
      <c r="I13" s="48" t="inlineStr">
        <is>
          <t>N/A</t>
        </is>
      </c>
      <c r="J13" s="39" t="n">
        <v>1</v>
      </c>
      <c r="K13" s="39" t="n">
        <v>0</v>
      </c>
      <c r="L13" s="40" t="n">
        <v>1</v>
      </c>
      <c r="M13" s="27">
        <f>IF(COUNT(F13:L13)=0,"",SUM(F13:L13))</f>
        <v/>
      </c>
      <c r="N13" s="28">
        <f>IF(M13="","",M13/(COUNT(F13:L13)*2))</f>
        <v/>
      </c>
      <c r="O13" s="31" t="n">
        <v>6</v>
      </c>
    </row>
    <row r="14" ht="34.5" customHeight="1" s="71">
      <c r="B14" s="29" t="n"/>
      <c r="C14" s="30" t="n"/>
      <c r="D14" s="31" t="n"/>
      <c r="E14" s="31" t="n"/>
      <c r="F14" s="41" t="n"/>
      <c r="G14" s="41" t="n"/>
      <c r="H14" s="41" t="n"/>
      <c r="I14" s="48" t="n"/>
      <c r="J14" s="39" t="n"/>
      <c r="K14" s="39" t="n"/>
      <c r="L14" s="42" t="n"/>
      <c r="M14" s="27" t="n"/>
      <c r="N14" s="28" t="n"/>
      <c r="O14" s="31" t="n"/>
    </row>
    <row r="15" ht="57.5" customHeight="1" s="71">
      <c r="B15" s="29" t="n"/>
      <c r="C15" s="30" t="n"/>
      <c r="D15" s="31" t="n"/>
      <c r="E15" s="31" t="n"/>
      <c r="F15" s="41" t="n"/>
      <c r="G15" s="41" t="n"/>
      <c r="H15" s="41" t="n"/>
      <c r="I15" s="48" t="n"/>
      <c r="J15" s="39" t="n"/>
      <c r="K15" s="39" t="n"/>
      <c r="L15" s="43" t="n"/>
      <c r="M15" s="27" t="n"/>
      <c r="N15" s="28" t="n"/>
      <c r="O15" s="31" t="n"/>
    </row>
    <row r="16" ht="46" customHeight="1" s="71">
      <c r="B16" s="29" t="inlineStr">
        <is>
          <t>파란 글씨 칸=직접 입력. 검정=자동 계산. 운영 시맨틱 N/A=비-ML 표준(분모 제외). ★=AI-Ready 샘플 재작성 5종 중 타 PG 3종.</t>
        </is>
      </c>
      <c r="C16" s="30" t="n"/>
      <c r="D16" s="31" t="n"/>
      <c r="E16" s="31" t="n"/>
      <c r="F16" s="39" t="n"/>
      <c r="G16" s="39" t="n"/>
      <c r="H16" s="39" t="n"/>
      <c r="I16" s="48" t="n"/>
      <c r="J16" s="39" t="n"/>
      <c r="K16" s="38" t="n"/>
      <c r="L16" s="42" t="n"/>
      <c r="M16" s="27" t="n"/>
      <c r="N16" s="28" t="n"/>
      <c r="O16" s="31" t="n"/>
    </row>
    <row r="17" ht="57.5" customHeight="1" s="71">
      <c r="B17" s="29" t="n"/>
      <c r="C17" s="30" t="n"/>
      <c r="D17" s="31" t="n"/>
      <c r="E17" s="31" t="n"/>
      <c r="F17" s="38" t="n"/>
      <c r="G17" s="39" t="n"/>
      <c r="H17" s="39" t="n"/>
      <c r="I17" s="38" t="n"/>
      <c r="J17" s="38" t="n"/>
      <c r="K17" s="39" t="n"/>
      <c r="L17" s="40" t="n"/>
      <c r="M17" s="27" t="n"/>
      <c r="N17" s="28" t="n"/>
      <c r="O17" s="31" t="n"/>
    </row>
    <row r="18" ht="57.5" customHeight="1" s="71">
      <c r="B18" s="29" t="n"/>
      <c r="C18" s="30" t="n"/>
      <c r="D18" s="31" t="n"/>
      <c r="E18" s="31" t="n"/>
      <c r="F18" s="38" t="n"/>
      <c r="G18" s="38" t="n"/>
      <c r="H18" s="38" t="n"/>
      <c r="I18" s="48" t="n"/>
      <c r="J18" s="38" t="n"/>
      <c r="K18" s="39" t="n"/>
      <c r="L18" s="42" t="n"/>
      <c r="M18" s="27" t="n"/>
      <c r="N18" s="28" t="n"/>
      <c r="O18" s="31" t="n"/>
    </row>
    <row r="19" ht="23" customHeight="1" s="71">
      <c r="B19" s="29" t="n"/>
      <c r="C19" s="30" t="n"/>
      <c r="D19" s="31" t="n"/>
      <c r="E19" s="31" t="n"/>
      <c r="F19" s="41" t="n"/>
      <c r="G19" s="39" t="n"/>
      <c r="H19" s="41" t="n"/>
      <c r="I19" s="48" t="n"/>
      <c r="J19" s="39" t="n"/>
      <c r="K19" s="38" t="n"/>
      <c r="L19" s="40" t="n"/>
      <c r="M19" s="27" t="n"/>
      <c r="N19" s="28" t="n"/>
      <c r="O19" s="31" t="n"/>
    </row>
    <row r="20" ht="57.5" customHeight="1" s="71">
      <c r="B20" s="29" t="n"/>
      <c r="C20" s="30" t="n"/>
      <c r="D20" s="31" t="n"/>
      <c r="E20" s="31" t="n"/>
      <c r="F20" s="38" t="n"/>
      <c r="G20" s="39" t="n"/>
      <c r="H20" s="39" t="n"/>
      <c r="I20" s="48" t="n"/>
      <c r="J20" s="39" t="n"/>
      <c r="K20" s="38" t="n"/>
      <c r="L20" s="40" t="n"/>
      <c r="M20" s="27" t="n"/>
      <c r="N20" s="28" t="n"/>
      <c r="O20" s="31" t="n"/>
    </row>
    <row r="22">
      <c r="B22" s="100" t="inlineStr">
        <is>
          <t>구성요소별 평균</t>
        </is>
      </c>
      <c r="C22" s="73" t="n"/>
      <c r="D22" s="73" t="n"/>
      <c r="E22" s="94" t="n"/>
      <c r="F22" s="108">
        <f>IFERROR(AVERAGE(F5:F14),"")</f>
        <v/>
      </c>
      <c r="G22" s="108">
        <f>IFERROR(AVERAGE(G5:G14),"")</f>
        <v/>
      </c>
      <c r="H22" s="108">
        <f>IFERROR(AVERAGE(H5:H14),"")</f>
        <v/>
      </c>
      <c r="I22" s="108">
        <f>IFERROR(AVERAGE(I5:I14),"")</f>
        <v/>
      </c>
      <c r="J22" s="108">
        <f>IFERROR(AVERAGE(J5:J14),"")</f>
        <v/>
      </c>
      <c r="K22" s="108">
        <f>IFERROR(AVERAGE(K5:K14),"")</f>
        <v/>
      </c>
      <c r="L22" s="108">
        <f>IFERROR(AVERAGE(L5:L14),"")</f>
        <v/>
      </c>
      <c r="M22" s="35">
        <f>IFERROR(AVERAGE(M5:M14),"")</f>
        <v/>
      </c>
      <c r="N22" s="36">
        <f>IFERROR(AVERAGE(N5:N14),"")</f>
        <v/>
      </c>
      <c r="O22" s="108">
        <f>IFERROR(AVERAGE(O5:O14),"")</f>
        <v/>
      </c>
    </row>
    <row r="24">
      <c r="B24" s="97" t="inlineStr">
        <is>
          <t>파란 글씨 칸 = 직접 입력(등급 0/1/2, 결함수). 검정/합계·성숙도·평균 = 자동 계산. 평균이 낮은 구성요소가 공통 공백 → 수준 요건의 핵심 근거.</t>
        </is>
      </c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</row>
    <row r="27" ht="17" customHeight="1" s="71">
      <c r="B27" s="96" t="inlineStr">
        <is>
          <t>■ 유형별 평균 성숙도 (TG 기분석 9종 분류)</t>
        </is>
      </c>
    </row>
    <row r="28" ht="16" customHeight="1" s="71">
      <c r="B28" s="99" t="inlineStr">
        <is>
          <t>유형</t>
        </is>
      </c>
      <c r="C28" s="99" t="inlineStr">
        <is>
          <t>표준 수</t>
        </is>
      </c>
      <c r="D28" s="99" t="inlineStr">
        <is>
          <t>평균 성숙도</t>
        </is>
      </c>
      <c r="E28" s="109" t="inlineStr">
        <is>
          <t>표준번호</t>
        </is>
      </c>
      <c r="F28" s="110" t="n"/>
      <c r="G28" s="111" t="n"/>
      <c r="H28" s="109" t="inlineStr">
        <is>
          <t>표준명</t>
        </is>
      </c>
      <c r="I28" s="110" t="n"/>
      <c r="J28" s="110" t="n"/>
      <c r="K28" s="110" t="n"/>
      <c r="L28" s="110" t="n"/>
      <c r="M28" s="110" t="n"/>
      <c r="N28" s="110" t="n"/>
      <c r="O28" s="111" t="n"/>
    </row>
    <row r="29" ht="26" customHeight="1" s="71">
      <c r="B29" s="44" t="inlineStr">
        <is>
          <t>메타데이터(카탈로그)</t>
        </is>
      </c>
      <c r="C29" s="45" t="n">
        <v>1</v>
      </c>
      <c r="D29" s="49" t="n">
        <v>0.83</v>
      </c>
      <c r="E29" s="112" t="inlineStr">
        <is>
          <t>TTAE.IT-Y.3603</t>
        </is>
      </c>
      <c r="F29" s="110" t="n"/>
      <c r="G29" s="111" t="n"/>
      <c r="H29" s="113" t="inlineStr">
        <is>
          <t>빅데이터 – 데이터 카탈로그를 위한 메타데이터 요구사항 및 개념모델</t>
        </is>
      </c>
      <c r="I29" s="110" t="n"/>
      <c r="J29" s="110" t="n"/>
      <c r="K29" s="110" t="n"/>
      <c r="L29" s="110" t="n"/>
      <c r="M29" s="110" t="n"/>
      <c r="N29" s="110" t="n"/>
      <c r="O29" s="111" t="n"/>
    </row>
    <row r="30" ht="26" customHeight="1" s="71">
      <c r="B30" s="44" t="inlineStr">
        <is>
          <t>어휘</t>
        </is>
      </c>
      <c r="C30" s="45" t="n">
        <v>1</v>
      </c>
      <c r="D30" s="49" t="n">
        <v>0.67</v>
      </c>
      <c r="E30" s="112" t="inlineStr">
        <is>
          <t>TTAK.KO-10.1291-Part1</t>
        </is>
      </c>
      <c r="F30" s="110" t="n"/>
      <c r="G30" s="111" t="n"/>
      <c r="H30" s="113" t="inlineStr">
        <is>
          <t>데이터맵 – 제1부: 데이터맵 어휘</t>
        </is>
      </c>
      <c r="I30" s="110" t="n"/>
      <c r="J30" s="110" t="n"/>
      <c r="K30" s="110" t="n"/>
      <c r="L30" s="110" t="n"/>
      <c r="M30" s="110" t="n"/>
      <c r="N30" s="110" t="n"/>
      <c r="O30" s="111" t="n"/>
    </row>
    <row r="31" ht="26" customHeight="1" s="71">
      <c r="B31" s="44" t="inlineStr">
        <is>
          <t>신원/VC</t>
        </is>
      </c>
      <c r="C31" s="45" t="n">
        <v>1</v>
      </c>
      <c r="D31" s="49" t="n">
        <v>0.58</v>
      </c>
      <c r="E31" s="112" t="inlineStr">
        <is>
          <t>TTAK.KO-10.1561</t>
        </is>
      </c>
      <c r="F31" s="110" t="n"/>
      <c r="G31" s="111" t="n"/>
      <c r="H31" s="113" t="inlineStr">
        <is>
          <t>검증가능한 크리덴셜 기반 사용자 신원확인을 위한 프로파일</t>
        </is>
      </c>
      <c r="I31" s="110" t="n"/>
      <c r="J31" s="110" t="n"/>
      <c r="K31" s="110" t="n"/>
      <c r="L31" s="110" t="n"/>
      <c r="M31" s="110" t="n"/>
      <c r="N31" s="110" t="n"/>
      <c r="O31" s="111" t="n"/>
    </row>
    <row r="32" ht="52" customHeight="1" s="71">
      <c r="B32" s="44" t="inlineStr">
        <is>
          <t>데이터 모델</t>
        </is>
      </c>
      <c r="C32" s="45" t="n">
        <v>2</v>
      </c>
      <c r="D32" s="50" t="n">
        <v>0.38</v>
      </c>
      <c r="E32" s="112" t="inlineStr">
        <is>
          <t>TTAK.KO-10.1510
TTAK.KO-11.0326-Part6</t>
        </is>
      </c>
      <c r="F32" s="110" t="n"/>
      <c r="G32" s="111" t="n"/>
      <c r="H32" s="113" t="inlineStr">
        <is>
          <t>디지털 국토정보 플랫폼의 데이터 연계를 위한 공통 데이터 모델 ★
디지털 트윈 연합 - 제6부: 디지털 트윈 객체 데이터 모델</t>
        </is>
      </c>
      <c r="I32" s="110" t="n"/>
      <c r="J32" s="110" t="n"/>
      <c r="K32" s="110" t="n"/>
      <c r="L32" s="110" t="n"/>
      <c r="M32" s="110" t="n"/>
      <c r="N32" s="110" t="n"/>
      <c r="O32" s="111" t="n"/>
    </row>
    <row r="33" ht="26" customHeight="1" s="71">
      <c r="B33" s="44" t="inlineStr">
        <is>
          <t>서비스 명세</t>
        </is>
      </c>
      <c r="C33" s="45" t="n">
        <v>1</v>
      </c>
      <c r="D33" s="50" t="n">
        <v>0.33</v>
      </c>
      <c r="E33" s="112" t="inlineStr">
        <is>
          <t>TTAK.KO-10.1500</t>
        </is>
      </c>
      <c r="F33" s="110" t="n"/>
      <c r="G33" s="111" t="n"/>
      <c r="H33" s="113" t="inlineStr">
        <is>
          <t>대체 불가능 토큰(NFT)의 디지털 콘텐츠 저작권 정보 확인 명세</t>
        </is>
      </c>
      <c r="I33" s="110" t="n"/>
      <c r="J33" s="110" t="n"/>
      <c r="K33" s="110" t="n"/>
      <c r="L33" s="110" t="n"/>
      <c r="M33" s="110" t="n"/>
      <c r="N33" s="110" t="n"/>
      <c r="O33" s="111" t="n"/>
    </row>
    <row r="34" ht="52" customHeight="1" s="71">
      <c r="B34" s="44" t="inlineStr">
        <is>
          <t>품질 검증</t>
        </is>
      </c>
      <c r="C34" s="45" t="n">
        <v>2</v>
      </c>
      <c r="D34" s="50" t="n">
        <v>0.25</v>
      </c>
      <c r="E34" s="112" t="inlineStr">
        <is>
          <t>TTAK.KO-11.0310
TTAK.KO-10.1419</t>
        </is>
      </c>
      <c r="F34" s="110" t="n"/>
      <c r="G34" s="111" t="n"/>
      <c r="H34" s="113" t="inlineStr">
        <is>
          <t>JSON 형태의 자율주행 학습용 데이터 품질 검증 지침 — 정확성 및 다양성 ★
한국어 음성 및 텍스트 데이터의 의미적 정확성 품질검증 방법</t>
        </is>
      </c>
      <c r="I34" s="110" t="n"/>
      <c r="J34" s="110" t="n"/>
      <c r="K34" s="110" t="n"/>
      <c r="L34" s="110" t="n"/>
      <c r="M34" s="110" t="n"/>
      <c r="N34" s="110" t="n"/>
      <c r="O34" s="111" t="n"/>
    </row>
    <row r="35" ht="26" customHeight="1" s="71">
      <c r="B35" s="44" t="inlineStr">
        <is>
          <t>데이터 구조</t>
        </is>
      </c>
      <c r="C35" s="45" t="n">
        <v>1</v>
      </c>
      <c r="D35" s="51" t="n">
        <v>0.17</v>
      </c>
      <c r="E35" s="112" t="inlineStr">
        <is>
          <t>TTAK.KO-10.1530</t>
        </is>
      </c>
      <c r="F35" s="110" t="n"/>
      <c r="G35" s="111" t="n"/>
      <c r="H35" s="113" t="inlineStr">
        <is>
          <t>유수식 스마트 수산양식 시스템의 센서 데이터 구조 ★</t>
        </is>
      </c>
      <c r="I35" s="110" t="n"/>
      <c r="J35" s="110" t="n"/>
      <c r="K35" s="110" t="n"/>
      <c r="L35" s="110" t="n"/>
      <c r="M35" s="110" t="n"/>
      <c r="N35" s="110" t="n"/>
      <c r="O35" s="111" t="n"/>
    </row>
    <row r="36" ht="16" customHeight="1" s="71">
      <c r="B36" s="44" t="n"/>
      <c r="C36" s="45" t="n"/>
      <c r="D36" s="51" t="n"/>
      <c r="E36" s="46" t="n"/>
    </row>
    <row r="37" ht="16" customHeight="1" s="71">
      <c r="B37" s="44" t="n"/>
      <c r="C37" s="45" t="n"/>
      <c r="D37" s="51" t="n"/>
      <c r="E37" s="46" t="n"/>
    </row>
    <row r="38" ht="16" customHeight="1" s="71">
      <c r="B38" s="44" t="n"/>
      <c r="C38" s="45" t="n"/>
      <c r="D38" s="51" t="n"/>
      <c r="E38" s="46" t="n"/>
    </row>
    <row r="39" ht="16" customHeight="1" s="71">
      <c r="B39" s="44" t="n"/>
      <c r="C39" s="45" t="n"/>
      <c r="D39" s="51" t="n"/>
      <c r="E39" s="46" t="n"/>
    </row>
  </sheetData>
  <mergeCells count="21">
    <mergeCell ref="E28:G28"/>
    <mergeCell ref="H35:O35"/>
    <mergeCell ref="H29:O29"/>
    <mergeCell ref="E31:G31"/>
    <mergeCell ref="E34:G34"/>
    <mergeCell ref="E30:G30"/>
    <mergeCell ref="H31:O31"/>
    <mergeCell ref="B27:O27"/>
    <mergeCell ref="H34:O34"/>
    <mergeCell ref="B2:O2"/>
    <mergeCell ref="B22:E22"/>
    <mergeCell ref="E32:G32"/>
    <mergeCell ref="H32:O32"/>
    <mergeCell ref="H28:O28"/>
    <mergeCell ref="E33:G33"/>
    <mergeCell ref="B24:O24"/>
    <mergeCell ref="H33:O33"/>
    <mergeCell ref="E35:G35"/>
    <mergeCell ref="B28"/>
    <mergeCell ref="E29:G29"/>
    <mergeCell ref="H30:O30"/>
  </mergeCells>
  <dataValidations count="1">
    <dataValidation sqref="F5:L14" showDropDown="0" showInputMessage="0" showErrorMessage="0" allowBlank="1" type="list">
      <formula1>"0,1,2"</formula1>
      <formula2>0</formula2>
    </dataValidation>
  </dataValidations>
  <pageMargins left="0.3" right="0.3" top="0.4" bottom="0.4" header="0.511811023622047" footer="0.511811023622047"/>
  <pageSetup orientation="landscape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showGridLines="0" topLeftCell="A28" zoomScaleNormal="100" workbookViewId="0">
      <selection activeCell="D51" sqref="D51"/>
    </sheetView>
  </sheetViews>
  <sheetFormatPr baseColWidth="8" defaultColWidth="8.6328125" defaultRowHeight="14.5"/>
  <cols>
    <col width="3" customWidth="1" style="71" min="1" max="1"/>
    <col width="20" customWidth="1" style="71" min="2" max="2"/>
    <col width="11" customWidth="1" style="71" min="3" max="3"/>
    <col width="24" customWidth="1" style="71" min="4" max="4"/>
    <col width="18" customWidth="1" style="71" min="5" max="5"/>
    <col width="16" customWidth="1" style="71" min="6" max="6"/>
    <col width="3" customWidth="1" style="71" min="7" max="7"/>
  </cols>
  <sheetData>
    <row r="2" ht="24" customHeight="1" s="71">
      <c r="B2" s="87" t="inlineStr">
        <is>
          <t>AI-Ready 표준 분석 카드</t>
        </is>
      </c>
    </row>
    <row r="4" ht="15" customHeight="1" s="71">
      <c r="B4" s="86" t="inlineStr">
        <is>
          <t>■ 식별 정보</t>
        </is>
      </c>
      <c r="C4" s="73" t="n"/>
      <c r="D4" s="73" t="n"/>
      <c r="E4" s="73" t="n"/>
      <c r="F4" s="73" t="n"/>
    </row>
    <row r="5" ht="15" customHeight="1" s="71">
      <c r="B5" s="9" t="inlineStr">
        <is>
          <t>표준번호</t>
        </is>
      </c>
      <c r="C5" s="105" t="inlineStr">
        <is>
          <t>TTAK.KO-10.1530</t>
        </is>
      </c>
      <c r="D5" s="94" t="n"/>
      <c r="E5" s="9" t="inlineStr">
        <is>
          <t>판수</t>
        </is>
      </c>
      <c r="F5" s="104" t="inlineStr">
        <is>
          <t>제1판</t>
        </is>
      </c>
    </row>
    <row r="6" ht="29.25" customHeight="1" s="71">
      <c r="B6" s="9" t="inlineStr">
        <is>
          <t>표준명</t>
        </is>
      </c>
      <c r="C6" s="104" t="inlineStr">
        <is>
          <t>유수식 스마트 수산양식 시스템의 센서 데이터 구조</t>
        </is>
      </c>
      <c r="D6" s="94" t="n"/>
      <c r="E6" s="9" t="inlineStr">
        <is>
          <t>제정일</t>
        </is>
      </c>
      <c r="F6" s="105" t="inlineStr">
        <is>
          <t>2024.12.06.</t>
        </is>
      </c>
    </row>
    <row r="7" ht="15" customHeight="1" s="71">
      <c r="B7" s="9" t="inlineStr">
        <is>
          <t>소관 PG</t>
        </is>
      </c>
      <c r="C7" s="105" t="inlineStr">
        <is>
          <t>PG426</t>
        </is>
      </c>
      <c r="D7" s="94" t="n"/>
      <c r="E7" s="9" t="inlineStr">
        <is>
          <t>최근 개정일</t>
        </is>
      </c>
      <c r="F7" s="105" t="inlineStr">
        <is>
          <t>-</t>
        </is>
      </c>
    </row>
    <row r="8" ht="15" customHeight="1" s="71">
      <c r="B8" s="9" t="inlineStr">
        <is>
          <t>도메인 분류</t>
        </is>
      </c>
      <c r="C8" s="104" t="inlineStr">
        <is>
          <t>수산양식 / IoT 센서 데이터</t>
        </is>
      </c>
      <c r="D8" s="94" t="n"/>
      <c r="E8" s="9" t="inlineStr">
        <is>
          <t>분석 담당자</t>
        </is>
      </c>
      <c r="F8" s="105" t="inlineStr">
        <is>
          <t>(샘플) 선태</t>
        </is>
      </c>
    </row>
    <row r="10" ht="16.5" customHeight="1" s="71">
      <c r="B10" s="92" t="inlineStr">
        <is>
          <t>■ A축 — 품질·정합성 결함 점검</t>
        </is>
      </c>
      <c r="C10" s="73" t="n"/>
      <c r="D10" s="73" t="n"/>
      <c r="E10" s="73" t="n"/>
      <c r="F10" s="73" t="n"/>
    </row>
    <row r="11" ht="15" customHeight="1" s="71">
      <c r="B11" s="3" t="inlineStr">
        <is>
          <t>결함 유형</t>
        </is>
      </c>
      <c r="C11" s="1" t="inlineStr">
        <is>
          <t>발견</t>
        </is>
      </c>
      <c r="D11" s="82" t="inlineStr">
        <is>
          <t>구체 사례</t>
        </is>
      </c>
      <c r="E11" s="73" t="n"/>
      <c r="F11" s="1" t="inlineStr">
        <is>
          <t>자동검사</t>
        </is>
      </c>
    </row>
    <row r="12" ht="57.75" customHeight="1" s="71">
      <c r="B12" s="2" t="inlineStr">
        <is>
          <t>데이터 타입 정의 오류</t>
        </is>
      </c>
      <c r="C12" s="10" t="inlineStr">
        <is>
          <t>Y</t>
        </is>
      </c>
      <c r="D12" s="102" t="inlineStr">
        <is>
          <t>표 5-1에서 xs:short를 ‘8비트 정수형, 범위 –32768~32768’로 기술. 실제 xs:short는 W3C XML Schema 기준 16비트(–32768~32767), 8비트는 xs:byte. 비트폭·상한값 모두 오류.</t>
        </is>
      </c>
      <c r="E12" s="73" t="n"/>
      <c r="F12" s="11" t="inlineStr">
        <is>
          <t>예</t>
        </is>
      </c>
    </row>
    <row r="13" ht="57.75" customHeight="1" s="71">
      <c r="B13" s="2" t="inlineStr">
        <is>
          <t>단위 표기 모호성</t>
        </is>
      </c>
      <c r="C13" s="10" t="inlineStr">
        <is>
          <t>Y</t>
        </is>
      </c>
      <c r="D13" s="102" t="inlineStr">
        <is>
          <t>표 7-2 ValueUnit이 표시용 코드로만 정의되고, 코드 0x0B ‘m/L’은 본문 표 6-1 단위 목록에 없는 미사용 단위. 한 센서가 복수 단위를 갖는 경우 해석 모호.</t>
        </is>
      </c>
      <c r="E13" s="73" t="n"/>
      <c r="F13" s="11" t="inlineStr">
        <is>
          <t>예</t>
        </is>
      </c>
    </row>
    <row r="14" ht="57.75" customHeight="1" s="71">
      <c r="B14" s="2" t="inlineStr">
        <is>
          <t>인용/준용표준 분류 오류</t>
        </is>
      </c>
      <c r="C14" s="10" t="inlineStr">
        <is>
          <t>Y</t>
        </is>
      </c>
      <c r="D14" s="102" t="inlineStr">
        <is>
          <t>서문 3절·본문 2절 ‘인용표준 해당없음’이나 5장이 [W3C XMLSchema] 데이터 타입에 규범 의존하고 xs:float는 IEEE 754를 따름.</t>
        </is>
      </c>
      <c r="E14" s="73" t="n"/>
      <c r="F14" s="11" t="inlineStr">
        <is>
          <t>부분</t>
        </is>
      </c>
    </row>
    <row r="15" ht="57.75" customHeight="1" s="71">
      <c r="B15" s="2" t="inlineStr">
        <is>
          <t>코드/enum 정의 오류</t>
        </is>
      </c>
      <c r="C15" s="10" t="inlineStr">
        <is>
          <t>Y</t>
        </is>
      </c>
      <c r="D15" s="102" t="inlineStr">
        <is>
          <t>표 7-2 InstallStatus 코드표 헤더가 ‘센싱값 타입’이나 값(Empty·Installed·Ready·Removed)은 설치 상태 코드 → 헤더 오류.</t>
        </is>
      </c>
      <c r="E15" s="73" t="n"/>
      <c r="F15" s="11" t="inlineStr">
        <is>
          <t>부분</t>
        </is>
      </c>
    </row>
    <row r="16" ht="57.75" customHeight="1" s="71">
      <c r="B16" s="2" t="inlineStr">
        <is>
          <t>오타·표기 불일치</t>
        </is>
      </c>
      <c r="C16" s="10" t="inlineStr">
        <is>
          <t>Y</t>
        </is>
      </c>
      <c r="D16" s="102" t="inlineStr">
        <is>
          <t>용어정의 3.2 ‘소자’를 ‘조사’로, 7.1절 ‘종류’를 ‘종유’로 오기.</t>
        </is>
      </c>
      <c r="E16" s="73" t="n"/>
      <c r="F16" s="11" t="inlineStr">
        <is>
          <t>부분</t>
        </is>
      </c>
    </row>
    <row r="17" ht="57.75" customHeight="1" s="71">
      <c r="B17" s="2" t="inlineStr">
        <is>
          <t>내부 일관성</t>
        </is>
      </c>
      <c r="C17" s="10" t="inlineStr">
        <is>
          <t>Y</t>
        </is>
      </c>
      <c r="D17" s="102" t="inlineStr">
        <is>
          <t>4장 약어 ‘해당없음’이나 본문에서 pH·DO·ORP·SS·EC·NTU 등 다수 사용; 표 6-1 일부 행 ‘센서’ 표기 누락.</t>
        </is>
      </c>
      <c r="E17" s="73" t="n"/>
      <c r="F17" s="11" t="inlineStr">
        <is>
          <t>예</t>
        </is>
      </c>
    </row>
    <row r="18" ht="57.75" customHeight="1" s="71">
      <c r="B18" s="2" t="inlineStr">
        <is>
          <t>기타</t>
        </is>
      </c>
      <c r="C18" s="10" t="inlineStr">
        <is>
          <t>N</t>
        </is>
      </c>
      <c r="D18" s="102" t="inlineStr">
        <is>
          <t>위 분류 외 추가 결함은 발견되지 않음.</t>
        </is>
      </c>
      <c r="E18" s="73" t="n"/>
      <c r="F18" s="11" t="inlineStr">
        <is>
          <t>—</t>
        </is>
      </c>
    </row>
    <row r="19" ht="15" customHeight="1" s="71">
      <c r="B19" s="12" t="inlineStr">
        <is>
          <t>결함 발견 수 (Y)</t>
        </is>
      </c>
      <c r="C19" s="95">
        <f>COUNTIF(C12:C18,"Y")</f>
        <v/>
      </c>
      <c r="D19" s="73" t="n"/>
      <c r="E19" s="73" t="n"/>
      <c r="F19" s="73" t="n"/>
    </row>
    <row r="21" ht="16.5" customHeight="1" s="71">
      <c r="B21" s="92" t="inlineStr">
        <is>
          <t>■ B축 — AI-Ready 7개 구성요소 성숙도</t>
        </is>
      </c>
      <c r="C21" s="73" t="n"/>
      <c r="D21" s="73" t="n"/>
      <c r="E21" s="73" t="n"/>
      <c r="F21" s="73" t="n"/>
    </row>
    <row r="22" ht="15" customHeight="1" s="71">
      <c r="B22" s="3" t="inlineStr">
        <is>
          <t>구성요소</t>
        </is>
      </c>
      <c r="C22" s="1" t="inlineStr">
        <is>
          <t>등급(0/1/2)</t>
        </is>
      </c>
      <c r="D22" s="3" t="inlineStr">
        <is>
          <t>근거</t>
        </is>
      </c>
      <c r="E22" s="82" t="inlineStr">
        <is>
          <t>충족 위한 매핑 대상</t>
        </is>
      </c>
      <c r="F22" s="73" t="n"/>
    </row>
    <row r="23" ht="61.5" customHeight="1" s="71">
      <c r="B23" s="2" t="inlineStr">
        <is>
          <t>시맨틱</t>
        </is>
      </c>
      <c r="C23" s="13" t="n">
        <v>0</v>
      </c>
      <c r="D23" s="14" t="inlineStr">
        <is>
          <t>DeviceID·FishType가 로컬 코드, Section→Device→센싱값 계층(포함)이 외래키·산문 — 전역 IRI 없음.</t>
        </is>
      </c>
      <c r="E23" s="101" t="inlineStr">
        <is>
          <t>SOSA/SSN; skos:broader·sosa 관계 IRI</t>
        </is>
      </c>
      <c r="F23" s="73" t="n"/>
    </row>
    <row r="24" ht="61.5" customHeight="1" s="71">
      <c r="B24" s="2" t="inlineStr">
        <is>
          <t>데이터 모델</t>
        </is>
      </c>
      <c r="C24" s="15" t="n">
        <v>1</v>
      </c>
      <c r="D24" s="14" t="inlineStr">
        <is>
          <t>표 5-1·7-2에 xs: 타입·필수·코드값을 표로 정의(검증 스키마 미제공).</t>
        </is>
      </c>
      <c r="E24" s="101" t="inlineStr">
        <is>
          <t>XSD/SHACL로 값 제약 형식화</t>
        </is>
      </c>
      <c r="F24" s="73" t="n"/>
    </row>
    <row r="25" ht="61.5" customHeight="1" s="71">
      <c r="B25" s="2" t="inlineStr">
        <is>
          <t>신태틱</t>
        </is>
      </c>
      <c r="C25" s="15" t="n">
        <v>1</v>
      </c>
      <c r="D25" s="16" t="inlineStr">
        <is>
          <t>데이터 표현을 ‘바이너리 또는 JSON’으로 언급할 뿐 규범 직렬화(JSON-LD/RDF) 부재.</t>
        </is>
      </c>
      <c r="E25" s="101" t="inlineStr">
        <is>
          <t>JSON-LD @context, RDF/Turtle, Croissant</t>
        </is>
      </c>
      <c r="F25" s="73" t="n"/>
    </row>
    <row r="26" ht="61.5" customHeight="1" s="71">
      <c r="B26" s="2" t="inlineStr">
        <is>
          <t>운영 시맨틱</t>
        </is>
      </c>
      <c r="C26" s="13" t="inlineStr">
        <is>
          <t>N/A</t>
        </is>
      </c>
      <c r="D26" s="16" t="inlineStr">
        <is>
          <t>센서 데이터 구조 표준 — ML 학습·검증 사용(split·feature/label) 정의 대상이 아님(비해당).</t>
        </is>
      </c>
      <c r="E26" s="101" t="inlineStr">
        <is>
          <t>—</t>
        </is>
      </c>
      <c r="F26" s="73" t="n"/>
    </row>
    <row r="27" ht="61.5" customHeight="1" s="71">
      <c r="B27" s="2" t="inlineStr">
        <is>
          <t>출처/계보</t>
        </is>
      </c>
      <c r="C27" s="13" t="n">
        <v>0</v>
      </c>
      <c r="D27" s="14" t="inlineStr">
        <is>
          <t>SensingTime·InstallTime·ManufName·Status가 흩어져 있고 생성·가공 계보 모델 부재.</t>
        </is>
      </c>
      <c r="E27" s="101" t="inlineStr">
        <is>
          <t>PROV-O</t>
        </is>
      </c>
      <c r="F27" s="73" t="n"/>
    </row>
    <row r="28" ht="61.5" customHeight="1" s="71">
      <c r="B28" s="2" t="inlineStr">
        <is>
          <t>품질 프로파일</t>
        </is>
      </c>
      <c r="C28" s="13" t="n">
        <v>0</v>
      </c>
      <c r="D28" s="14" t="inlineStr">
        <is>
          <t>ValueState·Status가 enum 코드뿐, 품질 차원(정확도·결측 등) 형식 어휘 부재.</t>
        </is>
      </c>
      <c r="E28" s="101" t="inlineStr">
        <is>
          <t>DQV</t>
        </is>
      </c>
      <c r="F28" s="73" t="n"/>
    </row>
    <row r="29" ht="61.5" customHeight="1" s="71">
      <c r="B29" s="2" t="inlineStr">
        <is>
          <t>접근/사용 제약</t>
        </is>
      </c>
      <c r="C29" s="13" t="n">
        <v>0</v>
      </c>
      <c r="D29" s="16" t="inlineStr">
        <is>
          <t>데이터 수준 라이선스·접근권 메타데이터 부재.</t>
        </is>
      </c>
      <c r="E29" s="101" t="inlineStr">
        <is>
          <t>DCAT v3(dct:license·accessRights), ODRL</t>
        </is>
      </c>
      <c r="F29" s="73" t="n"/>
    </row>
    <row r="30" ht="15" customHeight="1" s="71">
      <c r="B30" s="12" t="inlineStr">
        <is>
          <t>성숙도 점수</t>
        </is>
      </c>
      <c r="C30" s="91">
        <f>IF(COUNT(C23:C29)=0,"",SUM(C23:C29)/(COUNT(C23:C29)*2))</f>
        <v/>
      </c>
      <c r="D30" s="73" t="n"/>
      <c r="E30" s="73" t="n"/>
      <c r="F30" s="73" t="n"/>
    </row>
    <row r="32" ht="16.5" customHeight="1" s="71">
      <c r="B32" s="86" t="inlineStr">
        <is>
          <t>■ 종합 — 가장 시급한 개선 1~2개</t>
        </is>
      </c>
      <c r="C32" s="73" t="n"/>
      <c r="D32" s="73" t="n"/>
      <c r="E32" s="73" t="n"/>
      <c r="F32" s="73" t="n"/>
    </row>
    <row r="33" ht="21.75" customHeight="1" s="71">
      <c r="B33" s="103" t="inlineStr">
        <is>
          <t>1) 시맨틱 — 센서·관측·관측대상을 SOSA/SSN IRI에 매핑
2) 운영 시맨틱 — 단위를 QUDT/UCUM 표준 식별자로 결합</t>
        </is>
      </c>
      <c r="C33" s="89" t="n"/>
      <c r="D33" s="89" t="n"/>
      <c r="E33" s="89" t="n"/>
      <c r="F33" s="89" t="n"/>
    </row>
    <row r="34" ht="21.75" customHeight="1" s="71">
      <c r="B34" s="9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dataValidations count="3">
    <dataValidation sqref="C12:C18" showDropDown="0" showInputMessage="0" showErrorMessage="0" allowBlank="1" type="list">
      <formula1>"Y,N,N/A"</formula1>
      <formula2>0</formula2>
    </dataValidation>
    <dataValidation sqref="F12:F18" showDropDown="0" showInputMessage="0" showErrorMessage="0" allowBlank="1" type="list">
      <formula1>"예,부분,아니오,—"</formula1>
      <formula2>0</formula2>
    </dataValidation>
    <dataValidation sqref="C23:C29" showDropDown="0" showInputMessage="0" showErrorMessage="0" allowBlank="1" type="list">
      <formula1>"0,1,2"</formula1>
      <formula2>0</formula2>
    </dataValidation>
  </dataValidations>
  <pageMargins left="0.3" right="0.3" top="0.4" bottom="0.4" header="0.511811023622047" footer="0.511811023622047"/>
  <pageSetup orientation="landscape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zoomScaleNormal="100" workbookViewId="0">
      <selection activeCell="A1" sqref="A1"/>
    </sheetView>
  </sheetViews>
  <sheetFormatPr baseColWidth="8" defaultColWidth="8.6328125" defaultRowHeight="14.5"/>
  <cols>
    <col width="3" customWidth="1" style="71" min="1" max="1"/>
    <col width="20" customWidth="1" style="71" min="2" max="2"/>
    <col width="11" customWidth="1" style="71" min="3" max="3"/>
    <col width="24" customWidth="1" style="71" min="4" max="4"/>
    <col width="18" customWidth="1" style="71" min="5" max="5"/>
    <col width="16" customWidth="1" style="71" min="6" max="6"/>
    <col width="3" customWidth="1" style="71" min="7" max="7"/>
  </cols>
  <sheetData>
    <row r="2" ht="24" customHeight="1" s="71">
      <c r="B2" s="87" t="inlineStr">
        <is>
          <t>AI-Ready 표준 분석 카드</t>
        </is>
      </c>
    </row>
    <row r="4" ht="15" customHeight="1" s="71">
      <c r="B4" s="86" t="inlineStr">
        <is>
          <t>■ 식별 정보</t>
        </is>
      </c>
      <c r="C4" s="73" t="n"/>
      <c r="D4" s="73" t="n"/>
      <c r="E4" s="73" t="n"/>
      <c r="F4" s="73" t="n"/>
    </row>
    <row r="5" ht="15" customHeight="1" s="71">
      <c r="B5" s="9" t="inlineStr">
        <is>
          <t>표준번호</t>
        </is>
      </c>
      <c r="C5" s="105" t="inlineStr">
        <is>
          <t>TTAK.KO-10.1510</t>
        </is>
      </c>
      <c r="D5" s="94" t="n"/>
      <c r="E5" s="9" t="inlineStr">
        <is>
          <t>판수</t>
        </is>
      </c>
      <c r="F5" s="104" t="inlineStr">
        <is>
          <t>제1판</t>
        </is>
      </c>
    </row>
    <row r="6" ht="29.25" customHeight="1" s="71">
      <c r="B6" s="9" t="inlineStr">
        <is>
          <t>표준명</t>
        </is>
      </c>
      <c r="C6" s="104" t="inlineStr">
        <is>
          <t>디지털 국토정보 플랫폼의 데이터 연계를 위한 공통 데이터 모델</t>
        </is>
      </c>
      <c r="D6" s="94" t="n"/>
      <c r="E6" s="9" t="inlineStr">
        <is>
          <t>제정일</t>
        </is>
      </c>
      <c r="F6" s="105" t="inlineStr">
        <is>
          <t>2024.12.06</t>
        </is>
      </c>
    </row>
    <row r="7" ht="15" customHeight="1" s="71">
      <c r="B7" s="9" t="inlineStr">
        <is>
          <t>소관 PG</t>
        </is>
      </c>
      <c r="C7" s="105" t="inlineStr">
        <is>
          <t>PG409</t>
        </is>
      </c>
      <c r="D7" s="94" t="n"/>
      <c r="E7" s="9" t="inlineStr">
        <is>
          <t>최근 개정일</t>
        </is>
      </c>
      <c r="F7" s="105" t="inlineStr">
        <is>
          <t>-</t>
        </is>
      </c>
    </row>
    <row r="8" ht="15" customHeight="1" s="71">
      <c r="B8" s="9" t="inlineStr">
        <is>
          <t>도메인 분류</t>
        </is>
      </c>
      <c r="C8" s="104" t="inlineStr">
        <is>
          <t>공간정보 / 데이터 모델(CityGML 프로파일)</t>
        </is>
      </c>
      <c r="D8" s="94" t="n"/>
      <c r="E8" s="9" t="inlineStr">
        <is>
          <t>분석 담당자</t>
        </is>
      </c>
      <c r="F8" s="105" t="inlineStr">
        <is>
          <t>(샘플)</t>
        </is>
      </c>
    </row>
    <row r="10" ht="16.5" customHeight="1" s="71">
      <c r="B10" s="92" t="inlineStr">
        <is>
          <t>■ A축 — 품질·정합성 결함 점검</t>
        </is>
      </c>
      <c r="C10" s="73" t="n"/>
      <c r="D10" s="73" t="n"/>
      <c r="E10" s="73" t="n"/>
      <c r="F10" s="73" t="n"/>
    </row>
    <row r="11" ht="15" customHeight="1" s="71">
      <c r="B11" s="3" t="inlineStr">
        <is>
          <t>결함 유형</t>
        </is>
      </c>
      <c r="C11" s="1" t="inlineStr">
        <is>
          <t>발견</t>
        </is>
      </c>
      <c r="D11" s="82" t="inlineStr">
        <is>
          <t>구체 사례</t>
        </is>
      </c>
      <c r="E11" s="73" t="n"/>
      <c r="F11" s="1" t="inlineStr">
        <is>
          <t>자동검사</t>
        </is>
      </c>
    </row>
    <row r="12" ht="57.75" customHeight="1" s="71">
      <c r="B12" s="2" t="inlineStr">
        <is>
          <t>데이터 타입 정의 오류</t>
        </is>
      </c>
      <c r="C12" s="10" t="inlineStr">
        <is>
          <t>N</t>
        </is>
      </c>
      <c r="D12" s="102" t="inlineStr">
        <is>
          <t>컬럼 정의가 데이터유형 열에 CharacterString·Integer·date(KS X ISO 19103 기본형)로 명시되고(예: storeysAboveGround=Integer, creationDate=date), 검토 범위에서 타입 정의 오류는 발견되지 않음.</t>
        </is>
      </c>
      <c r="E12" s="73" t="n"/>
      <c r="F12" s="11" t="inlineStr">
        <is>
          <t>—</t>
        </is>
      </c>
    </row>
    <row r="13" ht="57.75" customHeight="1" s="71">
      <c r="B13" s="2" t="inlineStr">
        <is>
          <t>단위 표기 모호성</t>
        </is>
      </c>
      <c r="C13" s="10" t="inlineStr">
        <is>
          <t>N</t>
        </is>
      </c>
      <c r="D13" s="102" t="inlineStr">
        <is>
          <t>좌표는 GRS80(EPSG:5186) 소수점 6자리로, 층수는 정수로 명시되어 단위·좌표계 모호성은 발견되지 않음.</t>
        </is>
      </c>
      <c r="E13" s="73" t="n"/>
      <c r="F13" s="11" t="inlineStr">
        <is>
          <t>—</t>
        </is>
      </c>
    </row>
    <row r="14" ht="57.75" customHeight="1" s="71">
      <c r="B14" s="2" t="inlineStr">
        <is>
          <t>인용/준용표준 분류 오류</t>
        </is>
      </c>
      <c r="C14" s="10" t="inlineStr">
        <is>
          <t>Y</t>
        </is>
      </c>
      <c r="D14" s="102" t="inlineStr">
        <is>
          <t>1장·5장이 ‘이 표준을 따르는 데이터는 OGC CityGML 3.0과 KS X 6808-1:2022를 따라야 한다’고 규범 요구하고 개념 스키마는 KS X ISO 19103·ISO/IEC 19505(UML)를 따름. 그러나 서문 3절·본문 2장 ‘인용표준 해당 사항 없음’ — 프로파일 표준의 인용 누락.</t>
        </is>
      </c>
      <c r="E14" s="73" t="n"/>
      <c r="F14" s="11" t="inlineStr">
        <is>
          <t>부분</t>
        </is>
      </c>
    </row>
    <row r="15" ht="57.75" customHeight="1" s="71">
      <c r="B15" s="2" t="inlineStr">
        <is>
          <t>코드/enum 정의 오류</t>
        </is>
      </c>
      <c r="C15" s="10" t="inlineStr">
        <is>
          <t>N</t>
        </is>
      </c>
      <c r="D15" s="102" t="inlineStr">
        <is>
          <t>부속서 A 코드리스트를 정의하고 일부를 재정의(사유 본문 명시: 기본도 차이), 검토 범위에서 코드리스트 정의 오류는 발견되지 않음.</t>
        </is>
      </c>
      <c r="E15" s="73" t="n"/>
      <c r="F15" s="11" t="inlineStr">
        <is>
          <t>—</t>
        </is>
      </c>
    </row>
    <row r="16" ht="57.75" customHeight="1" s="71">
      <c r="B16" s="2" t="inlineStr">
        <is>
          <t>오타·표기 불일치</t>
        </is>
      </c>
      <c r="C16" s="10" t="inlineStr">
        <is>
          <t>Y</t>
        </is>
      </c>
      <c r="D16" s="102" t="inlineStr">
        <is>
          <t>본문 모듈명은 ‘Dynamizer’(CityGML 3.0 Dynamizer 모듈)이나 부록 Ⅱ 제목은 ‘Dynamazer 예제’로 표기 불일치.</t>
        </is>
      </c>
      <c r="E16" s="73" t="n"/>
      <c r="F16" s="11" t="inlineStr">
        <is>
          <t>부분</t>
        </is>
      </c>
    </row>
    <row r="17" ht="57.75" customHeight="1" s="71">
      <c r="B17" s="2" t="inlineStr">
        <is>
          <t>내부 일관성</t>
        </is>
      </c>
      <c r="C17" s="10" t="inlineStr">
        <is>
          <t>N</t>
        </is>
      </c>
      <c r="D17" s="102" t="inlineStr">
        <is>
          <t>검토 범위에서 명칭·표기 불일치(상기 부록 제목 제외)는 추가로 발견되지 않음.</t>
        </is>
      </c>
      <c r="E17" s="73" t="n"/>
      <c r="F17" s="11" t="inlineStr">
        <is>
          <t>—</t>
        </is>
      </c>
    </row>
    <row r="18" ht="57.75" customHeight="1" s="71">
      <c r="B18" s="2" t="inlineStr">
        <is>
          <t>기타</t>
        </is>
      </c>
      <c r="C18" s="10" t="inlineStr">
        <is>
          <t>N</t>
        </is>
      </c>
      <c r="D18" s="102" t="inlineStr">
        <is>
          <t>위 분류 외 추가 결함은 발견되지 않음.</t>
        </is>
      </c>
      <c r="E18" s="73" t="n"/>
      <c r="F18" s="11" t="inlineStr">
        <is>
          <t>—</t>
        </is>
      </c>
    </row>
    <row r="19" ht="15" customHeight="1" s="71">
      <c r="B19" s="12" t="inlineStr">
        <is>
          <t>결함 발견 수 (Y)</t>
        </is>
      </c>
      <c r="C19" s="95">
        <f>COUNTIF(C12:C18,"Y")</f>
        <v/>
      </c>
      <c r="D19" s="73" t="n"/>
      <c r="E19" s="73" t="n"/>
      <c r="F19" s="73" t="n"/>
    </row>
    <row r="21" ht="16.5" customHeight="1" s="71">
      <c r="B21" s="92" t="inlineStr">
        <is>
          <t>■ B축 — AI-Ready 7개 구성요소 성숙도</t>
        </is>
      </c>
      <c r="C21" s="73" t="n"/>
      <c r="D21" s="73" t="n"/>
      <c r="E21" s="73" t="n"/>
      <c r="F21" s="73" t="n"/>
    </row>
    <row r="22" ht="15" customHeight="1" s="71">
      <c r="B22" s="3" t="inlineStr">
        <is>
          <t>구성요소</t>
        </is>
      </c>
      <c r="C22" s="1" t="inlineStr">
        <is>
          <t>등급(0/1/2)</t>
        </is>
      </c>
      <c r="D22" s="3" t="inlineStr">
        <is>
          <t>근거</t>
        </is>
      </c>
      <c r="E22" s="82" t="inlineStr">
        <is>
          <t>충족 위한 매핑 대상</t>
        </is>
      </c>
      <c r="F22" s="73" t="n"/>
    </row>
    <row r="23" ht="61.5" customHeight="1" s="71">
      <c r="B23" s="2" t="inlineStr">
        <is>
          <t>시맨틱</t>
        </is>
      </c>
      <c r="C23" s="15" t="n">
        <v>1</v>
      </c>
      <c r="D23" s="14" t="inlineStr">
        <is>
          <t>CityGML 3.0 클래스·계층을 프로파일하나 요소-IRI 바인딩이 부분.</t>
        </is>
      </c>
      <c r="E23" s="101" t="inlineStr">
        <is>
          <t>CityGML/GeoSPARQL IRI</t>
        </is>
      </c>
      <c r="F23" s="73" t="n"/>
    </row>
    <row r="24" ht="61.5" customHeight="1" s="71">
      <c r="B24" s="2" t="inlineStr">
        <is>
          <t>데이터 모델</t>
        </is>
      </c>
      <c r="C24" s="37" t="n">
        <v>2</v>
      </c>
      <c r="D24" s="14" t="inlineStr">
        <is>
          <t>KS X ISO 19103 UML로 값 유형(CharacterString·Integer·date)·코드리스트·카디널리티를 형식 정의.</t>
        </is>
      </c>
      <c r="E24" s="101" t="inlineStr">
        <is>
          <t>(충족) UML→RDF 병기</t>
        </is>
      </c>
      <c r="F24" s="73" t="n"/>
    </row>
    <row r="25" ht="61.5" customHeight="1" s="71">
      <c r="B25" s="2" t="inlineStr">
        <is>
          <t>신태틱</t>
        </is>
      </c>
      <c r="C25" s="15" t="n">
        <v>1</v>
      </c>
      <c r="D25" s="16" t="inlineStr">
        <is>
          <t>CSV·XML(GML) 예시(부록 Ⅱ Dynamizer 예제 등)는 제공되나 JSON-LD·RDF 직렬화 부재.</t>
        </is>
      </c>
      <c r="E25" s="101" t="inlineStr">
        <is>
          <t>JSON-LD/GeoJSON-LD</t>
        </is>
      </c>
      <c r="F25" s="73" t="n"/>
    </row>
    <row r="26" ht="61.5" customHeight="1" s="71">
      <c r="B26" s="2" t="inlineStr">
        <is>
          <t>운영 시맨틱</t>
        </is>
      </c>
      <c r="C26" s="15" t="inlineStr">
        <is>
          <t>N/A</t>
        </is>
      </c>
      <c r="D26" s="16" t="inlineStr">
        <is>
          <t>공간 공통 데이터 모델 — ML 사용 정의 비대상(비해당).</t>
        </is>
      </c>
      <c r="E26" s="102" t="inlineStr">
        <is>
          <t>—</t>
        </is>
      </c>
      <c r="F26" s="73" t="n"/>
    </row>
    <row r="27" ht="61.5" customHeight="1" s="71">
      <c r="B27" s="2" t="inlineStr">
        <is>
          <t>출처/계보</t>
        </is>
      </c>
      <c r="C27" s="15" t="n">
        <v>1</v>
      </c>
      <c r="D27" s="16" t="inlineStr">
        <is>
          <t>연계 지도 출처(gisBuildingId·ufid·jusoBuildingId)와 creationDate·updateDate(date)로 연계 출처를 추적 — 부분 충족.</t>
        </is>
      </c>
      <c r="E27" s="101" t="inlineStr">
        <is>
          <t>PROV-O</t>
        </is>
      </c>
      <c r="F27" s="73" t="n"/>
    </row>
    <row r="28" ht="61.5" customHeight="1" s="71">
      <c r="B28" s="2" t="inlineStr">
        <is>
          <t>품질 프로파일</t>
        </is>
      </c>
      <c r="C28" s="13" t="n">
        <v>0</v>
      </c>
      <c r="D28" s="16" t="inlineStr">
        <is>
          <t>데이터 품질(위치 정확도 등) 형식 어휘 부재.</t>
        </is>
      </c>
      <c r="E28" s="101" t="inlineStr">
        <is>
          <t>DQV</t>
        </is>
      </c>
      <c r="F28" s="73" t="n"/>
    </row>
    <row r="29" ht="61.5" customHeight="1" s="71">
      <c r="B29" s="2" t="inlineStr">
        <is>
          <t>접근/사용 제약</t>
        </is>
      </c>
      <c r="C29" s="13" t="n">
        <v>0</v>
      </c>
      <c r="D29" s="16" t="inlineStr">
        <is>
          <t>데이터 수준 라이선스·접근권 메타데이터 부재.</t>
        </is>
      </c>
      <c r="E29" s="101" t="inlineStr">
        <is>
          <t>DCAT v3, ODRL</t>
        </is>
      </c>
      <c r="F29" s="73" t="n"/>
    </row>
    <row r="30" ht="15" customHeight="1" s="71">
      <c r="B30" s="12" t="inlineStr">
        <is>
          <t>성숙도 점수</t>
        </is>
      </c>
      <c r="C30" s="91">
        <f>IF(COUNT(C23:C29)=0,"",SUM(C23:C29)/(COUNT(C23:C29)*2))</f>
        <v/>
      </c>
      <c r="D30" s="73" t="n"/>
      <c r="E30" s="73" t="n"/>
      <c r="F30" s="73" t="n"/>
    </row>
    <row r="32" ht="16.5" customHeight="1" s="71">
      <c r="B32" s="86" t="inlineStr">
        <is>
          <t>■ 종합 — 가장 시급한 개선 1~2개</t>
        </is>
      </c>
      <c r="C32" s="73" t="n"/>
      <c r="D32" s="73" t="n"/>
      <c r="E32" s="73" t="n"/>
      <c r="F32" s="73" t="n"/>
    </row>
    <row r="33" ht="21.75" customHeight="1" s="71">
      <c r="B33" s="103" t="inlineStr">
        <is>
          <t>1) 인용표준 등재 + 속성 IRI 바인딩(CityGML/GeoSPARQL)
2) 품질·접근 — DQV/DCAT 추가(두 곳 0)</t>
        </is>
      </c>
      <c r="C33" s="89" t="n"/>
      <c r="D33" s="89" t="n"/>
      <c r="E33" s="89" t="n"/>
      <c r="F33" s="89" t="n"/>
    </row>
    <row r="34" ht="21.75" customHeight="1" s="71">
      <c r="B34" s="9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dataValidations count="3">
    <dataValidation sqref="C12:C18" showDropDown="0" showInputMessage="0" showErrorMessage="0" allowBlank="1" type="list">
      <formula1>"Y,N,N/A"</formula1>
      <formula2>0</formula2>
    </dataValidation>
    <dataValidation sqref="F12:F18" showDropDown="0" showInputMessage="0" showErrorMessage="0" allowBlank="1" type="list">
      <formula1>"예,부분,아니오,—"</formula1>
      <formula2>0</formula2>
    </dataValidation>
    <dataValidation sqref="C23:C29" showDropDown="0" showInputMessage="0" showErrorMessage="0" allowBlank="1" type="list">
      <formula1>"0,1,2"</formula1>
      <formula2>0</formula2>
    </dataValidation>
  </dataValidations>
  <pageMargins left="0.3" right="0.3" top="0.4" bottom="0.4" header="0.511811023622047" footer="0.511811023622047"/>
  <pageSetup orientation="landscape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zoomScaleNormal="100" workbookViewId="0">
      <selection activeCell="A1" sqref="A1"/>
    </sheetView>
  </sheetViews>
  <sheetFormatPr baseColWidth="8" defaultColWidth="8.6328125" defaultRowHeight="14.5"/>
  <cols>
    <col width="3" customWidth="1" style="71" min="1" max="1"/>
    <col width="20" customWidth="1" style="71" min="2" max="2"/>
    <col width="11" customWidth="1" style="71" min="3" max="3"/>
    <col width="24" customWidth="1" style="71" min="4" max="4"/>
    <col width="18" customWidth="1" style="71" min="5" max="5"/>
    <col width="16" customWidth="1" style="71" min="6" max="6"/>
    <col width="3" customWidth="1" style="71" min="7" max="7"/>
  </cols>
  <sheetData>
    <row r="2" ht="24" customHeight="1" s="71">
      <c r="B2" s="87" t="inlineStr">
        <is>
          <t>AI-Ready 표준 분석 카드</t>
        </is>
      </c>
    </row>
    <row r="4" ht="15" customHeight="1" s="71">
      <c r="B4" s="86" t="inlineStr">
        <is>
          <t>■ 식별 정보</t>
        </is>
      </c>
      <c r="C4" s="73" t="n"/>
      <c r="D4" s="73" t="n"/>
      <c r="E4" s="73" t="n"/>
      <c r="F4" s="73" t="n"/>
    </row>
    <row r="5" ht="15" customHeight="1" s="71">
      <c r="B5" s="9" t="inlineStr">
        <is>
          <t>표준번호</t>
        </is>
      </c>
      <c r="C5" s="105" t="inlineStr">
        <is>
          <t>TTAK.KO-11.0310</t>
        </is>
      </c>
      <c r="D5" s="94" t="n"/>
      <c r="E5" s="9" t="inlineStr">
        <is>
          <t>판수</t>
        </is>
      </c>
      <c r="F5" s="104" t="inlineStr">
        <is>
          <t>제1판</t>
        </is>
      </c>
    </row>
    <row r="6" ht="29.25" customHeight="1" s="71">
      <c r="B6" s="9" t="inlineStr">
        <is>
          <t>표준명</t>
        </is>
      </c>
      <c r="C6" s="104" t="inlineStr">
        <is>
          <t>JSON 형태의 자율주행 학습용 데이터 품질 검증 지침 — 정확성 및 다양성</t>
        </is>
      </c>
      <c r="D6" s="94" t="n"/>
      <c r="E6" s="9" t="inlineStr">
        <is>
          <t>제정일</t>
        </is>
      </c>
      <c r="F6" s="105" t="inlineStr">
        <is>
          <t>2022.12.07</t>
        </is>
      </c>
    </row>
    <row r="7" ht="15" customHeight="1" s="71">
      <c r="B7" s="9" t="inlineStr">
        <is>
          <t>소관 PG</t>
        </is>
      </c>
      <c r="C7" s="105" t="inlineStr">
        <is>
          <t>PG604</t>
        </is>
      </c>
      <c r="D7" s="94" t="n"/>
      <c r="E7" s="9" t="inlineStr">
        <is>
          <t>최근 개정일</t>
        </is>
      </c>
      <c r="F7" s="105" t="inlineStr">
        <is>
          <t>-</t>
        </is>
      </c>
    </row>
    <row r="8" ht="15" customHeight="1" s="71">
      <c r="B8" s="9" t="inlineStr">
        <is>
          <t>도메인 분류</t>
        </is>
      </c>
      <c r="C8" s="104" t="inlineStr">
        <is>
          <t>자율주행 학습데이터 / 품질 검증 지침</t>
        </is>
      </c>
      <c r="D8" s="94" t="n"/>
      <c r="E8" s="9" t="inlineStr">
        <is>
          <t>분석 담당자</t>
        </is>
      </c>
      <c r="F8" s="105" t="inlineStr">
        <is>
          <t>(샘플)</t>
        </is>
      </c>
    </row>
    <row r="10" ht="16.5" customHeight="1" s="71">
      <c r="B10" s="92" t="inlineStr">
        <is>
          <t>■ A축 — 품질·정합성 결함 점검</t>
        </is>
      </c>
      <c r="C10" s="73" t="n"/>
      <c r="D10" s="73" t="n"/>
      <c r="E10" s="73" t="n"/>
      <c r="F10" s="73" t="n"/>
    </row>
    <row r="11" ht="15" customHeight="1" s="71">
      <c r="B11" s="3" t="inlineStr">
        <is>
          <t>결함 유형</t>
        </is>
      </c>
      <c r="C11" s="1" t="inlineStr">
        <is>
          <t>발견</t>
        </is>
      </c>
      <c r="D11" s="82" t="inlineStr">
        <is>
          <t>구체 사례</t>
        </is>
      </c>
      <c r="E11" s="73" t="n"/>
      <c r="F11" s="1" t="inlineStr">
        <is>
          <t>자동검사</t>
        </is>
      </c>
    </row>
    <row r="12" ht="57.75" customHeight="1" s="71">
      <c r="B12" s="2" t="inlineStr">
        <is>
          <t>데이터 타입 정의 오류</t>
        </is>
      </c>
      <c r="C12" s="10" t="inlineStr">
        <is>
          <t>N/A</t>
        </is>
      </c>
      <c r="D12" s="102" t="inlineStr">
        <is>
          <t>개별 데이터 타입을 정의하는 표준이 아니라 JSON 데이터의 품질을 검증하는 지침으로, 타입 정의 대상이 없음.</t>
        </is>
      </c>
      <c r="E12" s="73" t="n"/>
      <c r="F12" s="11" t="inlineStr">
        <is>
          <t>—</t>
        </is>
      </c>
    </row>
    <row r="13" ht="57.75" customHeight="1" s="71">
      <c r="B13" s="2" t="inlineStr">
        <is>
          <t>단위 표기 모호성</t>
        </is>
      </c>
      <c r="C13" s="10" t="inlineStr">
        <is>
          <t>N/A</t>
        </is>
      </c>
      <c r="D13" s="102" t="inlineStr">
        <is>
          <t>측정 단위를 다루지 않는 품질 검증 지침으로 단위 표기 대상이 없음.</t>
        </is>
      </c>
      <c r="E13" s="73" t="n"/>
      <c r="F13" s="11" t="inlineStr">
        <is>
          <t>—</t>
        </is>
      </c>
    </row>
    <row r="14" ht="57.75" customHeight="1" s="71">
      <c r="B14" s="2" t="inlineStr">
        <is>
          <t>인용/준용표준 분류 오류</t>
        </is>
      </c>
      <c r="C14" s="10" t="inlineStr">
        <is>
          <t>N</t>
        </is>
      </c>
      <c r="D14" s="102" t="inlineStr">
        <is>
          <t>서문 3절 ‘인용표준 해당 사항 없음’. 자체 완결적 품질 스키마로 외부 표준에 대한 명백한 규범 의존은 발견되지 않음(JSON 형식 참조 규격 등재 여부만 검토 권고).</t>
        </is>
      </c>
      <c r="E14" s="73" t="n"/>
      <c r="F14" s="11" t="inlineStr">
        <is>
          <t>—</t>
        </is>
      </c>
    </row>
    <row r="15" ht="57.75" customHeight="1" s="71">
      <c r="B15" s="2" t="inlineStr">
        <is>
          <t>코드/enum 정의 오류</t>
        </is>
      </c>
      <c r="C15" s="10" t="inlineStr">
        <is>
          <t>N/A</t>
        </is>
      </c>
      <c r="D15" s="102" t="inlineStr">
        <is>
          <t>코드표/enum 정의가 없는 지침 표준으로 해당 유형 결함이 성립하지 않음.</t>
        </is>
      </c>
      <c r="E15" s="73" t="n"/>
      <c r="F15" s="11" t="inlineStr">
        <is>
          <t>—</t>
        </is>
      </c>
    </row>
    <row r="16" ht="57.75" customHeight="1" s="71">
      <c r="B16" s="2" t="inlineStr">
        <is>
          <t>오타·표기 불일치</t>
        </is>
      </c>
      <c r="C16" s="10" t="inlineStr">
        <is>
          <t>N</t>
        </is>
      </c>
      <c r="D16" s="102" t="inlineStr">
        <is>
          <t>검토 범위에서 오탈자는 발견되지 않음.</t>
        </is>
      </c>
      <c r="E16" s="73" t="n"/>
      <c r="F16" s="11" t="inlineStr">
        <is>
          <t>—</t>
        </is>
      </c>
    </row>
    <row r="17" ht="57.75" customHeight="1" s="71">
      <c r="B17" s="2" t="inlineStr">
        <is>
          <t>내부 일관성</t>
        </is>
      </c>
      <c r="C17" s="10" t="inlineStr">
        <is>
          <t>N</t>
        </is>
      </c>
      <c r="D17" s="102" t="inlineStr">
        <is>
          <t>검토 범위에서 내부 표기 불일치는 발견되지 않음.</t>
        </is>
      </c>
      <c r="E17" s="73" t="n"/>
      <c r="F17" s="11" t="inlineStr">
        <is>
          <t>—</t>
        </is>
      </c>
    </row>
    <row r="18" ht="57.75" customHeight="1" s="71">
      <c r="B18" s="2" t="inlineStr">
        <is>
          <t>기타</t>
        </is>
      </c>
      <c r="C18" s="10" t="inlineStr">
        <is>
          <t>Y</t>
        </is>
      </c>
      <c r="D18" s="102" t="inlineStr">
        <is>
          <t>5~6장 정확성(구문적 정확성)·다양성(통계적 충분성·균일성) 검증지표가 자연어 정의와 표(&lt;표 6-1&gt; 등) 중심으로 기술되어, 기계가 직접 실행할 형식(검증 규칙)이 아님 → 자동 검증 도구화에 형식화 필요.</t>
        </is>
      </c>
      <c r="E18" s="73" t="n"/>
      <c r="F18" s="11" t="inlineStr">
        <is>
          <t>예</t>
        </is>
      </c>
    </row>
    <row r="19" ht="15" customHeight="1" s="71">
      <c r="B19" s="12" t="inlineStr">
        <is>
          <t>결함 발견 수 (Y)</t>
        </is>
      </c>
      <c r="C19" s="95">
        <f>COUNTIF(C12:C18,"Y")</f>
        <v/>
      </c>
      <c r="D19" s="73" t="n"/>
      <c r="E19" s="73" t="n"/>
      <c r="F19" s="73" t="n"/>
    </row>
    <row r="21" ht="16.5" customHeight="1" s="71">
      <c r="B21" s="92" t="inlineStr">
        <is>
          <t>■ B축 — AI-Ready 7개 구성요소 성숙도</t>
        </is>
      </c>
      <c r="C21" s="73" t="n"/>
      <c r="D21" s="73" t="n"/>
      <c r="E21" s="73" t="n"/>
      <c r="F21" s="73" t="n"/>
    </row>
    <row r="22" ht="15" customHeight="1" s="71">
      <c r="B22" s="3" t="inlineStr">
        <is>
          <t>구성요소</t>
        </is>
      </c>
      <c r="C22" s="1" t="inlineStr">
        <is>
          <t>등급(0/1/2)</t>
        </is>
      </c>
      <c r="D22" s="3" t="inlineStr">
        <is>
          <t>근거</t>
        </is>
      </c>
      <c r="E22" s="82" t="inlineStr">
        <is>
          <t>충족 위한 매핑 대상</t>
        </is>
      </c>
      <c r="F22" s="73" t="n"/>
    </row>
    <row r="23" ht="61.5" customHeight="1" s="71">
      <c r="B23" s="2" t="inlineStr">
        <is>
          <t>시맨틱</t>
        </is>
      </c>
      <c r="C23" s="13" t="n">
        <v>0</v>
      </c>
      <c r="D23" s="16" t="inlineStr">
        <is>
          <t>검증 대상 JSON의 Key·Value 의미·구조가 산문·로컬, 전역 어휘 미연결.</t>
        </is>
      </c>
      <c r="E23" s="101" t="inlineStr">
        <is>
          <t>DQV 어휘; skos</t>
        </is>
      </c>
      <c r="F23" s="73" t="n"/>
    </row>
    <row r="24" ht="61.5" customHeight="1" s="71">
      <c r="B24" s="2" t="inlineStr">
        <is>
          <t>데이터 모델</t>
        </is>
      </c>
      <c r="C24" s="15" t="n">
        <v>1</v>
      </c>
      <c r="D24" s="16" t="inlineStr">
        <is>
          <t>JSON 값 유효범위·형식 일치성 검사 규칙을 정의(규범 JSON Schema 미제공).</t>
        </is>
      </c>
      <c r="E24" s="101" t="inlineStr">
        <is>
          <t>JSON Schema/SHACL</t>
        </is>
      </c>
      <c r="F24" s="73" t="n"/>
    </row>
    <row r="25" ht="61.5" customHeight="1" s="71">
      <c r="B25" s="2" t="inlineStr">
        <is>
          <t>신태틱</t>
        </is>
      </c>
      <c r="C25" s="15" t="n">
        <v>1</v>
      </c>
      <c r="D25" s="16" t="inlineStr">
        <is>
          <t>JSON 형식을 대상으로 하나 JSON-LD·RDF 표현 부재.</t>
        </is>
      </c>
      <c r="E25" s="101" t="inlineStr">
        <is>
          <t>JSON-LD, SHACL</t>
        </is>
      </c>
      <c r="F25" s="73" t="n"/>
    </row>
    <row r="26" ht="61.5" customHeight="1" s="71">
      <c r="B26" s="2" t="inlineStr">
        <is>
          <t>운영 시맨틱</t>
        </is>
      </c>
      <c r="C26" s="15" t="n">
        <v>0</v>
      </c>
      <c r="D26" s="16" t="inlineStr">
        <is>
          <t>자율주행 학습데이터 대상이나 split·feature/label 선언 없음(품질검사 목적).</t>
        </is>
      </c>
      <c r="E26" s="101" t="inlineStr">
        <is>
          <t>Croissant split·역할 선언</t>
        </is>
      </c>
      <c r="F26" s="73" t="n"/>
    </row>
    <row r="27" ht="61.5" customHeight="1" s="71">
      <c r="B27" s="2" t="inlineStr">
        <is>
          <t>출처/계보</t>
        </is>
      </c>
      <c r="C27" s="13" t="n">
        <v>0</v>
      </c>
      <c r="D27" s="16" t="inlineStr">
        <is>
          <t>데이터 구축·검증 수행 이력 요소 부재.</t>
        </is>
      </c>
      <c r="E27" s="101" t="inlineStr">
        <is>
          <t>PROV-O</t>
        </is>
      </c>
      <c r="F27" s="73" t="n"/>
    </row>
    <row r="28" ht="61.5" customHeight="1" s="71">
      <c r="B28" s="2" t="inlineStr">
        <is>
          <t>품질 프로파일</t>
        </is>
      </c>
      <c r="C28" s="15" t="n">
        <v>1</v>
      </c>
      <c r="D28" s="16" t="inlineStr">
        <is>
          <t>정확성(구문적 정확성)·다양성(통계적 충분성·균일성) 지표가 정의되어 품질 ‘내용’은 충실하나(예: 분포 통계로 편향도 산출), DQV 형식 어휘로 표현되지 않아 기계가 직접 읽지 못함.</t>
        </is>
      </c>
      <c r="E28" s="101" t="inlineStr">
        <is>
          <t>DQV 측정값 + SHACL</t>
        </is>
      </c>
      <c r="F28" s="73" t="n"/>
    </row>
    <row r="29" ht="61.5" customHeight="1" s="71">
      <c r="B29" s="2" t="inlineStr">
        <is>
          <t>접근/사용 제약</t>
        </is>
      </c>
      <c r="C29" s="13" t="n">
        <v>0</v>
      </c>
      <c r="D29" s="16" t="inlineStr">
        <is>
          <t>이용 조건·라이선스 메타데이터 부재.</t>
        </is>
      </c>
      <c r="E29" s="101" t="inlineStr">
        <is>
          <t>DCAT, ODRL</t>
        </is>
      </c>
      <c r="F29" s="73" t="n"/>
    </row>
    <row r="30" ht="15" customHeight="1" s="71">
      <c r="B30" s="12" t="inlineStr">
        <is>
          <t>성숙도 점수</t>
        </is>
      </c>
      <c r="C30" s="91">
        <f>IF(COUNT(C23:C29)=0,"",SUM(C23:C29)/(COUNT(C23:C29)*2))</f>
        <v/>
      </c>
      <c r="D30" s="73" t="n"/>
      <c r="E30" s="73" t="n"/>
      <c r="F30" s="73" t="n"/>
    </row>
    <row r="32" ht="16.5" customHeight="1" s="71">
      <c r="B32" s="86" t="inlineStr">
        <is>
          <t>■ 종합 — 가장 시급한 개선 1~2개</t>
        </is>
      </c>
      <c r="C32" s="73" t="n"/>
      <c r="D32" s="73" t="n"/>
      <c r="E32" s="73" t="n"/>
      <c r="F32" s="73" t="n"/>
    </row>
    <row r="33" ht="21.75" customHeight="1" s="71">
      <c r="B33" s="103" t="inlineStr">
        <is>
          <t>1) 품질·운영 — 정확성/다양성 지표를 DQV·SHACL로 형식화(검증 자동생성 직결)
2) 출처 — 검증 수행 이력을 PROV-O로 기록</t>
        </is>
      </c>
      <c r="C33" s="89" t="n"/>
      <c r="D33" s="89" t="n"/>
      <c r="E33" s="89" t="n"/>
      <c r="F33" s="89" t="n"/>
    </row>
    <row r="34" ht="21.75" customHeight="1" s="71">
      <c r="B34" s="9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dataValidations count="3">
    <dataValidation sqref="C12:C18" showDropDown="0" showInputMessage="0" showErrorMessage="0" allowBlank="1" type="list">
      <formula1>"Y,N,N/A"</formula1>
      <formula2>0</formula2>
    </dataValidation>
    <dataValidation sqref="F12:F18" showDropDown="0" showInputMessage="0" showErrorMessage="0" allowBlank="1" type="list">
      <formula1>"예,부분,아니오,—"</formula1>
      <formula2>0</formula2>
    </dataValidation>
    <dataValidation sqref="C23:C29" showDropDown="0" showInputMessage="0" showErrorMessage="0" allowBlank="1" type="list">
      <formula1>"0,1,2"</formula1>
      <formula2>0</formula2>
    </dataValidation>
  </dataValidations>
  <pageMargins left="0.3" right="0.3" top="0.4" bottom="0.4" header="0.511811023622047" footer="0.511811023622047"/>
  <pageSetup orientation="landscape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workbookViewId="0">
      <selection activeCell="A1" sqref="A1"/>
    </sheetView>
  </sheetViews>
  <sheetFormatPr baseColWidth="8" defaultColWidth="8.6328125" defaultRowHeight="14.5"/>
  <cols>
    <col width="3" customWidth="1" style="71" min="1" max="1"/>
    <col width="20" customWidth="1" style="71" min="2" max="2"/>
    <col width="11" customWidth="1" style="71" min="3" max="3"/>
    <col width="24" customWidth="1" style="71" min="4" max="4"/>
    <col width="18" customWidth="1" style="71" min="5" max="5"/>
    <col width="16" customWidth="1" style="71" min="6" max="6"/>
    <col width="3" customWidth="1" style="71" min="7" max="7"/>
  </cols>
  <sheetData>
    <row r="2" ht="24" customHeight="1" s="71">
      <c r="B2" s="87" t="inlineStr">
        <is>
          <t>AI-Ready 표준 분석 카드</t>
        </is>
      </c>
    </row>
    <row r="4" ht="15" customHeight="1" s="71">
      <c r="B4" s="86" t="inlineStr">
        <is>
          <t>■ 식별 정보</t>
        </is>
      </c>
      <c r="C4" s="73" t="n"/>
      <c r="D4" s="73" t="n"/>
      <c r="E4" s="73" t="n"/>
      <c r="F4" s="73" t="n"/>
    </row>
    <row r="5" ht="15" customHeight="1" s="71">
      <c r="B5" s="9" t="inlineStr">
        <is>
          <t>표준번호</t>
        </is>
      </c>
      <c r="C5" s="105" t="inlineStr">
        <is>
          <t>TTAK.KO-10.1291-Part1</t>
        </is>
      </c>
      <c r="D5" s="94" t="n"/>
      <c r="E5" s="9" t="inlineStr">
        <is>
          <t>판수</t>
        </is>
      </c>
      <c r="F5" s="104" t="inlineStr">
        <is>
          <t>제2판</t>
        </is>
      </c>
    </row>
    <row r="6" ht="29.25" customHeight="1" s="71">
      <c r="B6" s="9" t="inlineStr">
        <is>
          <t>표준명</t>
        </is>
      </c>
      <c r="C6" s="104" t="inlineStr">
        <is>
          <t>데이터맵 – 제1부: 데이터맵 어휘 (Datamap – Part 1: Datamap Vocabulary)</t>
        </is>
      </c>
      <c r="D6" s="94" t="n"/>
      <c r="E6" s="9" t="inlineStr">
        <is>
          <t>제정일</t>
        </is>
      </c>
      <c r="F6" s="105" t="inlineStr">
        <is>
          <t>2021.06.30</t>
        </is>
      </c>
    </row>
    <row r="7" ht="15" customHeight="1" s="71">
      <c r="B7" s="9" t="inlineStr">
        <is>
          <t>소관 PG</t>
        </is>
      </c>
      <c r="C7" s="105" t="inlineStr">
        <is>
          <t>PG1004</t>
        </is>
      </c>
      <c r="D7" s="94" t="n"/>
      <c r="E7" s="9" t="inlineStr">
        <is>
          <t>최근 개정일</t>
        </is>
      </c>
      <c r="F7" s="105" t="inlineStr">
        <is>
          <t>2022.12.07</t>
        </is>
      </c>
    </row>
    <row r="8" ht="15" customHeight="1" s="71">
      <c r="B8" s="9" t="inlineStr">
        <is>
          <t>도메인 분류</t>
        </is>
      </c>
      <c r="C8" s="104" t="inlineStr">
        <is>
          <t>데이터 서비스 메타데이터 / 어휘(RDF·OWL2 온톨로지)</t>
        </is>
      </c>
      <c r="D8" s="94" t="n"/>
      <c r="E8" s="9" t="inlineStr">
        <is>
          <t>분석 담당자</t>
        </is>
      </c>
      <c r="F8" s="105" t="inlineStr">
        <is>
          <t>(Tier1)</t>
        </is>
      </c>
    </row>
    <row r="10" ht="16.5" customHeight="1" s="71">
      <c r="B10" s="92" t="inlineStr">
        <is>
          <t>■ A축 — 품질·정합성 결함 점검</t>
        </is>
      </c>
      <c r="C10" s="73" t="n"/>
      <c r="D10" s="73" t="n"/>
      <c r="E10" s="73" t="n"/>
      <c r="F10" s="73" t="n"/>
    </row>
    <row r="11" ht="15" customHeight="1" s="71">
      <c r="B11" s="3" t="inlineStr">
        <is>
          <t>결함 유형</t>
        </is>
      </c>
      <c r="C11" s="1" t="inlineStr">
        <is>
          <t>발견</t>
        </is>
      </c>
      <c r="D11" s="82" t="inlineStr">
        <is>
          <t>구체 사례</t>
        </is>
      </c>
      <c r="E11" s="73" t="n"/>
      <c r="F11" s="1" t="inlineStr">
        <is>
          <t>자동검사</t>
        </is>
      </c>
    </row>
    <row r="12" ht="57.75" customHeight="1" s="71">
      <c r="B12" s="2" t="inlineStr">
        <is>
          <t>데이터 타입 정의 오류</t>
        </is>
      </c>
      <c r="C12" s="10" t="inlineStr">
        <is>
          <t>N</t>
        </is>
      </c>
      <c r="D12" s="102" t="inlineStr">
        <is>
          <t>부속서 A의 datatype 속성은 xsd:nonNegativeInteger·xsd:boolean을, 본문 8.2는 xsd:int를 공역으로 쓴다. 각 XSD 타입 자체에 사실 오기(예: 비트폭 오류)는 없다. 본문(xsd:int)과 부속서 A(xsd:nonNegativeInteger)의 불일치는 내부 일관성 결함으로 분류한다.</t>
        </is>
      </c>
      <c r="E12" s="73" t="n"/>
      <c r="F12" s="11" t="inlineStr">
        <is>
          <t>—</t>
        </is>
      </c>
    </row>
    <row r="13" ht="57.75" customHeight="1" s="71">
      <c r="B13" s="2" t="inlineStr">
        <is>
          <t>단위 표기 모호성</t>
        </is>
      </c>
      <c r="C13" s="10" t="inlineStr">
        <is>
          <t>Y</t>
        </is>
      </c>
      <c r="D13" s="102" t="inlineStr">
        <is>
          <t>8.2.18 dm:sizeOfDataset(표 8-23)의 공역은 xsd:int뿐이고, 물리적 규모의 단위(MB)는 부속서 A rdfs:comment 산문("represented by a megabyte(i.e. MB)")으로만 명시된다. 단위가 표시용 주석에만 존재하고 기계가 해석할 단위 속성이나 QUDT/UCUM 결합이 없다.</t>
        </is>
      </c>
      <c r="E13" s="73" t="n"/>
      <c r="F13" s="11" t="inlineStr">
        <is>
          <t>부분</t>
        </is>
      </c>
    </row>
    <row r="14" ht="57.75" customHeight="1" s="71">
      <c r="B14" s="2" t="inlineStr">
        <is>
          <t>인용/준용표준 분류 오류</t>
        </is>
      </c>
      <c r="C14" s="10" t="inlineStr">
        <is>
          <t>Y</t>
        </is>
      </c>
      <c r="D14" s="102" t="inlineStr">
        <is>
          <t>본문 '2 인용'은 비어 있고 서문 3.1/3.2는 '해당 사항 없음(None)'으로 표기한다. 그러나 5.3과 표 6-1은 DCAT·DCMI·Schema.org·SKOS 어휘를 규범적으로 재사용하고, 5.3은 "SKOS로 표현하는 모든 개념은 참조할 수 있는 URI 형식으로 정의해야 한다"고 의무화하며, 부속서 A(표준의 일부)는 dcat:Catalog/Dataset, skos:Concept/ConceptScheme, schema:Organization/DataCatalog, foaf:Organization을 IRI로 직접 참조한다. 규범적 의존을 '인용표준 없음'으로 표기한 분류 오류다.</t>
        </is>
      </c>
      <c r="E14" s="73" t="n"/>
      <c r="F14" s="11" t="inlineStr">
        <is>
          <t>부분</t>
        </is>
      </c>
    </row>
    <row r="15" ht="57.75" customHeight="1" s="71">
      <c r="B15" s="2" t="inlineStr">
        <is>
          <t>코드/enum 정의 오류</t>
        </is>
      </c>
      <c r="C15" s="10" t="inlineStr">
        <is>
          <t>Y</t>
        </is>
      </c>
      <c r="D15" s="102" t="inlineStr">
        <is>
          <t>8.2.7 dm:availableStatus·8.2.8 dm:integratingStatus·8.2.9 dm:harvestingStatus는 공역이 xsd:Boolean인데 정의는 "예: Yes 또는 No"라는 열거값으로 기술해 부울과 Yes/No 표기가 혼재한다. 또한 표 8-9 dm:column의 정의역은 본문에서 'dm:Datamap, dcat:Dataset'이나 부속서 A는 본 표준에 정의되지 않은 클래스 datamap/Dataset을 domain으로 선언한다.</t>
        </is>
      </c>
      <c r="E15" s="73" t="n"/>
      <c r="F15" s="11" t="inlineStr">
        <is>
          <t>부분</t>
        </is>
      </c>
    </row>
    <row r="16" ht="57.75" customHeight="1" s="71">
      <c r="B16" s="2" t="inlineStr">
        <is>
          <t>오타·표기 불일치</t>
        </is>
      </c>
      <c r="C16" s="10" t="inlineStr">
        <is>
          <t>Y</t>
        </is>
      </c>
      <c r="D16" s="102" t="inlineStr">
        <is>
          <t>표 8-12 표제가 "&lt;표 8-12&gt; dm:availableStatus의 정의"인데 본문은 dm:integratingStatus를 정의한다(표제 오기). 부속서 A에서 &lt;dcterms: creator &gt;...&lt;/dcterms:contributor&gt;로 여는 태그와 닫는 태그가 불일치한다. 부록 Ⅱ.1은 "표기가 'Datamap'에서 'Datamap'으로 변경"이라며 동일 문자열을 적는다.</t>
        </is>
      </c>
      <c r="E16" s="73" t="n"/>
      <c r="F16" s="11" t="inlineStr">
        <is>
          <t>부분</t>
        </is>
      </c>
    </row>
    <row r="17" ht="57.75" customHeight="1" s="71">
      <c r="B17" s="2" t="inlineStr">
        <is>
          <t>내부 일관성</t>
        </is>
      </c>
      <c r="C17" s="10" t="inlineStr">
        <is>
          <t>Y</t>
        </is>
      </c>
      <c r="D17" s="102" t="inlineStr">
        <is>
          <t>절 번호 8.2.16이 dm:numberOfOrganization과 dm:numberOfRegisteredUser에 중복 부여된다. 본문 8.2 정수 속성(표 8-16~8-23)은 공역을 xsd:int로, 부속서 A는 동일 속성을 xsd:nonNegativeInteger로 선언해 본문↔부속서가 불일치한다. 부속서 A의 dm:numberOfDatamap은 본문 8.2 목록에 누락되어 있다.</t>
        </is>
      </c>
      <c r="E17" s="73" t="n"/>
      <c r="F17" s="11" t="inlineStr">
        <is>
          <t>부분</t>
        </is>
      </c>
    </row>
    <row r="18" ht="57.75" customHeight="1" s="71">
      <c r="B18" s="2" t="inlineStr">
        <is>
          <t>기타</t>
        </is>
      </c>
      <c r="C18" s="10" t="inlineStr">
        <is>
          <t>N/A</t>
        </is>
      </c>
      <c r="D18" s="102" t="inlineStr">
        <is>
          <t>위 6개 분류 외 별도 결함 유형은 확인되지 않는다.</t>
        </is>
      </c>
      <c r="E18" s="73" t="n"/>
      <c r="F18" s="11" t="inlineStr">
        <is>
          <t>—</t>
        </is>
      </c>
    </row>
    <row r="19" ht="15" customHeight="1" s="71">
      <c r="B19" s="12" t="inlineStr">
        <is>
          <t>결함 발견 수 (Y)</t>
        </is>
      </c>
      <c r="C19" s="95">
        <f>COUNTIF(C12:C18,"Y")</f>
        <v/>
      </c>
      <c r="D19" s="73" t="n"/>
      <c r="E19" s="73" t="n"/>
      <c r="F19" s="73" t="n"/>
    </row>
    <row r="21" ht="16.5" customHeight="1" s="71">
      <c r="B21" s="92" t="inlineStr">
        <is>
          <t>■ B축 — AI-Ready 7개 구성요소 성숙도</t>
        </is>
      </c>
      <c r="C21" s="73" t="n"/>
      <c r="D21" s="73" t="n"/>
      <c r="E21" s="73" t="n"/>
      <c r="F21" s="73" t="n"/>
    </row>
    <row r="22" ht="15" customHeight="1" s="71">
      <c r="B22" s="3" t="inlineStr">
        <is>
          <t>구성요소</t>
        </is>
      </c>
      <c r="C22" s="1" t="inlineStr">
        <is>
          <t>등급(0/1/2)</t>
        </is>
      </c>
      <c r="D22" s="3" t="inlineStr">
        <is>
          <t>근거</t>
        </is>
      </c>
      <c r="E22" s="82" t="inlineStr">
        <is>
          <t>충족 위한 매핑 대상</t>
        </is>
      </c>
      <c r="F22" s="73" t="n"/>
    </row>
    <row r="23" ht="61.5" customHeight="1" s="71">
      <c r="B23" s="2" t="inlineStr">
        <is>
          <t>시맨틱</t>
        </is>
      </c>
      <c r="C23" s="15" t="n">
        <v>2</v>
      </c>
      <c r="D23" s="16" t="inlineStr">
        <is>
          <t>모든 클래스·속성과 상하 관계(rdfs:subClassOf, dm:Column⊑skos:Concept)를 전역 IRI(vocab.datahub.kr)로 정의.</t>
        </is>
      </c>
      <c r="E23" s="101" t="inlineStr">
        <is>
          <t>(충족)</t>
        </is>
      </c>
      <c r="F23" s="73" t="n"/>
    </row>
    <row r="24" ht="61.5" customHeight="1" s="71">
      <c r="B24" s="2" t="inlineStr">
        <is>
          <t>데이터 모델</t>
        </is>
      </c>
      <c r="C24" s="15" t="n">
        <v>2</v>
      </c>
      <c r="D24" s="16" t="inlineStr">
        <is>
          <t>OWL2로 속성 레인지(xsd:int·boolean·nonNegativeInteger)·domain/range를 형식 정의.</t>
        </is>
      </c>
      <c r="E24" s="101" t="inlineStr">
        <is>
          <t>(충족)</t>
        </is>
      </c>
      <c r="F24" s="73" t="n"/>
    </row>
    <row r="25" ht="61.5" customHeight="1" s="71">
      <c r="B25" s="2" t="inlineStr">
        <is>
          <t>신태틱</t>
        </is>
      </c>
      <c r="C25" s="15" t="n">
        <v>2</v>
      </c>
      <c r="D25" s="16" t="inlineStr">
        <is>
          <t>부속서 A("본 부속서는 표준 내용의 일부임")가 RDF/XML 직렬화(&lt;rdf:RDF&gt;...&lt;/rdf:RDF&gt;) 전체를 규범으로 제공하고, 부록 Ⅲ는 SPARQL 질의문을 함께 제시한다. RDF 규범 직렬화가 존재한다.</t>
        </is>
      </c>
      <c r="E25" s="101" t="inlineStr">
        <is>
          <t>RDF/XML·JSON-LD(추가 권장)</t>
        </is>
      </c>
      <c r="F25" s="73" t="n"/>
    </row>
    <row r="26" ht="61.5" customHeight="1" s="71">
      <c r="B26" s="2" t="inlineStr">
        <is>
          <t>운영 시맨틱</t>
        </is>
      </c>
      <c r="C26" s="15" t="inlineStr">
        <is>
          <t>N/A</t>
        </is>
      </c>
      <c r="D26" s="16" t="inlineStr">
        <is>
          <t>데이터맵 어휘(온톨로지) — ML 데이터셋 사용 정의 비대상(비해당).</t>
        </is>
      </c>
      <c r="E26" s="101" t="inlineStr">
        <is>
          <t>—</t>
        </is>
      </c>
      <c r="F26" s="73" t="n"/>
    </row>
    <row r="27" ht="61.5" customHeight="1" s="71">
      <c r="B27" s="2" t="inlineStr">
        <is>
          <t>출처/계보</t>
        </is>
      </c>
      <c r="C27" s="15" t="n">
        <v>1</v>
      </c>
      <c r="D27" s="14" t="inlineStr">
        <is>
          <t>부속서 A 온톨로지 헤더에 dcterms:creator·contributor·issued·modified·versionInfo(Revision: 2022-08-26) 일부 출처 필드가 존재하나, 데이터 인스턴스 수준의 계보는 PROV-O 등으로 형식화되지 않는다.</t>
        </is>
      </c>
      <c r="E27" s="101" t="inlineStr">
        <is>
          <t>PROV-O·DC Terms</t>
        </is>
      </c>
      <c r="F27" s="73" t="n"/>
    </row>
    <row r="28" ht="61.5" customHeight="1" s="71">
      <c r="B28" s="2" t="inlineStr">
        <is>
          <t>품질 프로파일</t>
        </is>
      </c>
      <c r="C28" s="13" t="n">
        <v>1</v>
      </c>
      <c r="D28" s="16" t="inlineStr">
        <is>
          <t>dm:quality 속성(표 8-29, 공역 rdfs:Resource, comment "measured score or level")으로 품질을 표기할 자리는 두지만 DQV 차원·메트릭으로 형식화하지 않고 산문 수준에 머문다.</t>
        </is>
      </c>
      <c r="E28" s="101" t="inlineStr">
        <is>
          <t>DQV</t>
        </is>
      </c>
      <c r="F28" s="73" t="n"/>
    </row>
    <row r="29" ht="61.5" customHeight="1" s="71">
      <c r="B29" s="2" t="inlineStr">
        <is>
          <t>접근/사용 제약</t>
        </is>
      </c>
      <c r="C29" s="15" t="n">
        <v>0</v>
      </c>
      <c r="D29" s="16" t="inlineStr">
        <is>
          <t>표지 2쪽의 문서 저작권(TTA) 고지 외에 데이터 수준의 라이선스·접근권 메타데이터가 없다. dm:endpointURL(표 8-10)은 접근 위치일 뿐 권리 표현이 아니며 DCAT/ODRL 결합이 없다.</t>
        </is>
      </c>
      <c r="E29" s="101" t="inlineStr">
        <is>
          <t>DCAT v3·ODRL</t>
        </is>
      </c>
      <c r="F29" s="73" t="n"/>
    </row>
    <row r="30" ht="15" customHeight="1" s="71">
      <c r="B30" s="12" t="inlineStr">
        <is>
          <t>성숙도 점수</t>
        </is>
      </c>
      <c r="C30" s="91">
        <f>IF(COUNT(C23:C29)=0,"",SUM(C23:C29)/(COUNT(C23:C29)*2))</f>
        <v/>
      </c>
      <c r="D30" s="73" t="n"/>
      <c r="E30" s="73" t="n"/>
      <c r="F30" s="73" t="n"/>
    </row>
    <row r="32" ht="16.5" customHeight="1" s="71">
      <c r="B32" s="86" t="inlineStr">
        <is>
          <t>■ 종합 — 가장 시급한 개선 1~2개</t>
        </is>
      </c>
      <c r="C32" s="73" t="n"/>
      <c r="D32" s="73" t="n"/>
      <c r="E32" s="73" t="n"/>
      <c r="F32" s="73" t="n"/>
    </row>
    <row r="33" ht="21.75" customHeight="1" s="71">
      <c r="B33" s="103" t="inlineStr">
        <is>
          <t>1) 인용/준용표준 분류 오류 시급 — 본문 '2 인용'·서문 3이 '해당 사항 없음'이나 부속서 A가 DCAT·SKOS·Schema.org·FOAF를 IRI로 규범 재사용하므로 인용표준에 명시해야 한다.
2) 본문↔부속서 A 불일치(xsd:int vs xsd:nonNegativeInteger, 절 8.2.16 중복, 표 8-12 표제 오기)를 정정하고 부울/Yes·No 표기를 통일해야 한다.</t>
        </is>
      </c>
      <c r="C33" s="89" t="n"/>
      <c r="D33" s="89" t="n"/>
      <c r="E33" s="89" t="n"/>
      <c r="F33" s="89" t="n"/>
    </row>
    <row r="34" ht="21.75" customHeight="1" s="71">
      <c r="B34" s="9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pageMargins left="0.3" right="0.3" top="0.4" bottom="0.4" header="0.511811023622047" footer="0.511811023622047"/>
  <pageSetup orientation="landscape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workbookViewId="0">
      <selection activeCell="A1" sqref="A1"/>
    </sheetView>
  </sheetViews>
  <sheetFormatPr baseColWidth="8" defaultColWidth="8.6328125" defaultRowHeight="14.5"/>
  <cols>
    <col width="3" customWidth="1" style="71" min="1" max="1"/>
    <col width="20" customWidth="1" style="71" min="2" max="2"/>
    <col width="11" customWidth="1" style="71" min="3" max="3"/>
    <col width="24" customWidth="1" style="71" min="4" max="4"/>
    <col width="18" customWidth="1" style="71" min="5" max="5"/>
    <col width="16" customWidth="1" style="71" min="6" max="6"/>
    <col width="3" customWidth="1" style="71" min="7" max="7"/>
  </cols>
  <sheetData>
    <row r="2" ht="24" customHeight="1" s="71">
      <c r="B2" s="87" t="inlineStr">
        <is>
          <t>AI-Ready 표준 분석 카드</t>
        </is>
      </c>
    </row>
    <row r="4" ht="15" customHeight="1" s="71">
      <c r="B4" s="86" t="inlineStr">
        <is>
          <t>■ 식별 정보</t>
        </is>
      </c>
      <c r="C4" s="73" t="n"/>
      <c r="D4" s="73" t="n"/>
      <c r="E4" s="73" t="n"/>
      <c r="F4" s="73" t="n"/>
    </row>
    <row r="5" ht="15" customHeight="1" s="71">
      <c r="B5" s="9" t="inlineStr">
        <is>
          <t>표준번호</t>
        </is>
      </c>
      <c r="C5" s="105" t="inlineStr">
        <is>
          <t>TTAE.IT-Y.3603</t>
        </is>
      </c>
      <c r="D5" s="94" t="n"/>
      <c r="E5" s="9" t="inlineStr">
        <is>
          <t>판수</t>
        </is>
      </c>
      <c r="F5" s="104" t="inlineStr">
        <is>
          <t>제1판</t>
        </is>
      </c>
    </row>
    <row r="6" ht="29.25" customHeight="1" s="71">
      <c r="B6" s="9" t="inlineStr">
        <is>
          <t>표준명</t>
        </is>
      </c>
      <c r="C6" s="104" t="inlineStr">
        <is>
          <t>빅데이터 – 데이터 카탈로그를 위한 메타데이터 요구사항 및 개념모델 (Big data – Requirements and Conceptual Model of Metadata for Data Catalogue)</t>
        </is>
      </c>
      <c r="D6" s="94" t="n"/>
      <c r="E6" s="9" t="inlineStr">
        <is>
          <t>제정일</t>
        </is>
      </c>
      <c r="F6" s="105" t="inlineStr">
        <is>
          <t>2023.12.06</t>
        </is>
      </c>
    </row>
    <row r="7" ht="15" customHeight="1" s="71">
      <c r="B7" s="9" t="inlineStr">
        <is>
          <t>소관 PG</t>
        </is>
      </c>
      <c r="C7" s="105" t="inlineStr">
        <is>
          <t>PG1004</t>
        </is>
      </c>
      <c r="D7" s="94" t="n"/>
      <c r="E7" s="9" t="inlineStr">
        <is>
          <t>최근 개정일</t>
        </is>
      </c>
      <c r="F7" s="105" t="inlineStr">
        <is>
          <t>-</t>
        </is>
      </c>
    </row>
    <row r="8" ht="15" customHeight="1" s="71">
      <c r="B8" s="9" t="inlineStr">
        <is>
          <t>도메인 분류</t>
        </is>
      </c>
      <c r="C8" s="104" t="inlineStr">
        <is>
          <t>빅데이터 데이터 카탈로그 / 메타데이터(개념모델·요구사항형)</t>
        </is>
      </c>
      <c r="D8" s="94" t="n"/>
      <c r="E8" s="9" t="inlineStr">
        <is>
          <t>분석 담당자</t>
        </is>
      </c>
      <c r="F8" s="105" t="inlineStr">
        <is>
          <t>(Tier1)</t>
        </is>
      </c>
    </row>
    <row r="10" ht="16.5" customHeight="1" s="71">
      <c r="B10" s="92" t="inlineStr">
        <is>
          <t>■ A축 — 품질·정합성 결함 점검</t>
        </is>
      </c>
      <c r="C10" s="73" t="n"/>
      <c r="D10" s="73" t="n"/>
      <c r="E10" s="73" t="n"/>
      <c r="F10" s="73" t="n"/>
    </row>
    <row r="11" ht="15" customHeight="1" s="71">
      <c r="B11" s="3" t="inlineStr">
        <is>
          <t>결함 유형</t>
        </is>
      </c>
      <c r="C11" s="1" t="inlineStr">
        <is>
          <t>발견</t>
        </is>
      </c>
      <c r="D11" s="82" t="inlineStr">
        <is>
          <t>구체 사례</t>
        </is>
      </c>
      <c r="E11" s="73" t="n"/>
      <c r="F11" s="1" t="inlineStr">
        <is>
          <t>자동검사</t>
        </is>
      </c>
    </row>
    <row r="12" ht="57.75" customHeight="1" s="71">
      <c r="B12" s="2" t="inlineStr">
        <is>
          <t>데이터 타입 정의 오류</t>
        </is>
      </c>
      <c r="C12" s="10" t="inlineStr">
        <is>
          <t>Y</t>
        </is>
      </c>
      <c r="D12" s="102" t="inlineStr">
        <is>
          <t>byteSize의 데이터 타입이 표 8-3(40~42행)에서는 'int'로 표기되나, 부록 I.1 RDF 프로파일과 I.2 Turtle 프로파일의 dcat:byteSize는 rdfs:range를 xsd:unsignedLong으로 지정한다(부록 II 인스턴스도 "12000000"^^xsd:unsignedLong 사용). 본문 데이터사전과 직렬화 스키마 간 타입 정의가 불일치한다.</t>
        </is>
      </c>
      <c r="E12" s="73" t="n"/>
      <c r="F12" s="11" t="inlineStr">
        <is>
          <t>예</t>
        </is>
      </c>
    </row>
    <row r="13" ht="57.75" customHeight="1" s="71">
      <c r="B13" s="2" t="inlineStr">
        <is>
          <t>단위 표기 모호성</t>
        </is>
      </c>
      <c r="C13" s="10" t="inlineStr">
        <is>
          <t>N/A</t>
        </is>
      </c>
      <c r="D13" s="102" t="inlineStr">
        <is>
          <t>표 8-5 BDC_DataQuality의 unitOfMeausre/qualityResult는 측정 단위 자체를 규정하는 항목이 아니라 free text 메타필드(인스턴스 예 'percent','passed')로서, 단위 표기 규범을 다루는 표준이 아니다. 유형 비해당.</t>
        </is>
      </c>
      <c r="E13" s="73" t="n"/>
      <c r="F13" s="11" t="inlineStr">
        <is>
          <t>—</t>
        </is>
      </c>
    </row>
    <row r="14" ht="57.75" customHeight="1" s="71">
      <c r="B14" s="2" t="inlineStr">
        <is>
          <t>인용/준용표준 분류 오류</t>
        </is>
      </c>
      <c r="C14" s="10" t="inlineStr">
        <is>
          <t>Y</t>
        </is>
      </c>
      <c r="D14" s="102" t="inlineStr">
        <is>
          <t>제2장 인용표준(References)에는 ITU-T X.680·Y.3600·Y.3601·Y.3602·Z.109만 규범 인용으로 열거된다. 그러나 부록 I 전체(RDF/Turtle/JSON-LD 프로파일)가 W3C DCAT, Dublin Core(dc:/dct:), OWL의 어휘·네임스페이스를 직접 준용하는데, 이들 [b-W3C DCAT]·[b-IETF RFC 5646]은 참고문헌(Bibliography)에만 두고 부록도 'does not form an integral part'로 표기되어 규범적 의존이 인용표준으로 분류되지 않았다.</t>
        </is>
      </c>
      <c r="E14" s="73" t="n"/>
      <c r="F14" s="11" t="inlineStr">
        <is>
          <t>부분</t>
        </is>
      </c>
    </row>
    <row r="15" ht="57.75" customHeight="1" s="71">
      <c r="B15" s="2" t="inlineStr">
        <is>
          <t>코드/enum 정의 오류</t>
        </is>
      </c>
      <c r="C15" s="10" t="inlineStr">
        <is>
          <t>N</t>
        </is>
      </c>
      <c r="D15" s="102" t="inlineStr">
        <is>
          <t>표 8-7 BDC_DataTypeCode의 enum(STRUCTURED 001, SEMI_STRUCTURED 002, UNSTRUCTURED 003)이 부록 I RDF/Turtle(bdc:Structured/SemiStructured/Unstructured)과 정의·설명이 일치한다. 코드표 결함 없음(통과).</t>
        </is>
      </c>
      <c r="E15" s="73" t="n"/>
      <c r="F15" s="11" t="inlineStr">
        <is>
          <t>—</t>
        </is>
      </c>
    </row>
    <row r="16" ht="57.75" customHeight="1" s="71">
      <c r="B16" s="2" t="inlineStr">
        <is>
          <t>오타·표기 불일치</t>
        </is>
      </c>
      <c r="C16" s="10" t="inlineStr">
        <is>
          <t>Y</t>
        </is>
      </c>
      <c r="D16" s="102" t="inlineStr">
        <is>
          <t>본문 데이터사전과 직렬화 프로파일 간 요소명 표기가 다수 불일치한다. 표 8-2(15행) organisationName↔RDF bdc:organizationName, 표 8-5(57행) unitOfMeausre(오타)↔RDF bdc:unitOfMeasure, 표 8-5(56행) qualityRequirement↔RDF bdc:qualityRequirements, 표 8-3 rightStatement↔RDF rightsStatement. 또한 표 8-6 'the most resent modified date'(resent→recent), 부록 II 'Particular Matter'(Particulate 오역)가 반복된다.</t>
        </is>
      </c>
      <c r="E16" s="73" t="n"/>
      <c r="F16" s="11" t="inlineStr">
        <is>
          <t>예</t>
        </is>
      </c>
    </row>
    <row r="17" ht="57.75" customHeight="1" s="71">
      <c r="B17" s="2" t="inlineStr">
        <is>
          <t>내부 일관성</t>
        </is>
      </c>
      <c r="C17" s="10" t="inlineStr">
        <is>
          <t>Y</t>
        </is>
      </c>
      <c r="D17" s="102" t="inlineStr">
        <is>
          <t>절 번호 '8.2.6'이 두 번 부여된다(BDC_Record와 Data type: BDC_DataTypeCode가 모두 8.2.6). 또 표 8-6의 modifiedDate는 설명상 '가장 최근 수정일'(단일값)인데 Cardinality가 N으로 표기되어 필수단일 의도와 충돌한다. 부록 II 도입부는 healthcare/'Health Insurance' 데이터 예라 했으나 실제 인스턴스(airCatalog, pmSet, ozoneSet)는 대기질 데이터로 본문 설명과 예제가 어긋난다.</t>
        </is>
      </c>
      <c r="E17" s="73" t="n"/>
      <c r="F17" s="11" t="inlineStr">
        <is>
          <t>부분</t>
        </is>
      </c>
    </row>
    <row r="18" ht="57.75" customHeight="1" s="71">
      <c r="B18" s="2" t="inlineStr">
        <is>
          <t>기타</t>
        </is>
      </c>
      <c r="C18" s="10" t="inlineStr">
        <is>
          <t>N</t>
        </is>
      </c>
      <c r="D18" s="102" t="inlineStr">
        <is>
          <t>위 유형 외의 별도 결함은 확인되지 않는다. 규약(제5장)·UML 프로파일(Z.109 기반)·M/R/O 표기 체계는 일관적이다.</t>
        </is>
      </c>
      <c r="E18" s="73" t="n"/>
      <c r="F18" s="11" t="inlineStr">
        <is>
          <t>—</t>
        </is>
      </c>
    </row>
    <row r="19" ht="15" customHeight="1" s="71">
      <c r="B19" s="12" t="inlineStr">
        <is>
          <t>결함 발견 수 (Y)</t>
        </is>
      </c>
      <c r="C19" s="95">
        <f>COUNTIF(C12:C18,"Y")</f>
        <v/>
      </c>
      <c r="D19" s="73" t="n"/>
      <c r="E19" s="73" t="n"/>
      <c r="F19" s="73" t="n"/>
    </row>
    <row r="21" ht="16.5" customHeight="1" s="71">
      <c r="B21" s="92" t="inlineStr">
        <is>
          <t>■ B축 — AI-Ready 7개 구성요소 성숙도</t>
        </is>
      </c>
      <c r="C21" s="73" t="n"/>
      <c r="D21" s="73" t="n"/>
      <c r="E21" s="73" t="n"/>
      <c r="F21" s="73" t="n"/>
    </row>
    <row r="22" ht="15" customHeight="1" s="71">
      <c r="B22" s="3" t="inlineStr">
        <is>
          <t>구성요소</t>
        </is>
      </c>
      <c r="C22" s="1" t="inlineStr">
        <is>
          <t>등급(0/1/2)</t>
        </is>
      </c>
      <c r="D22" s="3" t="inlineStr">
        <is>
          <t>근거</t>
        </is>
      </c>
      <c r="E22" s="82" t="inlineStr">
        <is>
          <t>충족 위한 매핑 대상</t>
        </is>
      </c>
      <c r="F22" s="73" t="n"/>
    </row>
    <row r="23" ht="61.5" customHeight="1" s="71">
      <c r="B23" s="2" t="inlineStr">
        <is>
          <t>시맨틱</t>
        </is>
      </c>
      <c r="C23" s="15" t="n">
        <v>2</v>
      </c>
      <c r="D23" s="16" t="inlineStr">
        <is>
          <t>UML 개념모델의 클래스·관계를 DCAT·Dublin Core·OWL IRI로 바인딩.</t>
        </is>
      </c>
      <c r="E23" s="101" t="inlineStr">
        <is>
          <t>(충족)</t>
        </is>
      </c>
      <c r="F23" s="73" t="n"/>
    </row>
    <row r="24" ht="61.5" customHeight="1" s="71">
      <c r="B24" s="2" t="inlineStr">
        <is>
          <t>데이터 모델</t>
        </is>
      </c>
      <c r="C24" s="15" t="n">
        <v>2</v>
      </c>
      <c r="D24" s="16" t="inlineStr">
        <is>
          <t>RDF 프로파일로 값 타입(int·unsignedLong)·카디널리티를 형식 정의.</t>
        </is>
      </c>
      <c r="E24" s="101" t="inlineStr">
        <is>
          <t>(충족)</t>
        </is>
      </c>
      <c r="F24" s="73" t="n"/>
    </row>
    <row r="25" ht="61.5" customHeight="1" s="71">
      <c r="B25" s="2" t="inlineStr">
        <is>
          <t>신태틱</t>
        </is>
      </c>
      <c r="C25" s="15" t="n">
        <v>2</v>
      </c>
      <c r="D25" s="16" t="inlineStr">
        <is>
          <t>부록 I이 RDF/XML(I.1), Turtle(I.2), JSON-LD(I.3) 세 규범 직렬화를 모두 제공하고, 부록 II가 각 형식의 인스턴스 예제를 동반한다. @context·@graph 기반 JSON-LD까지 명시되어 직렬화가 규범적으로 정의된다.</t>
        </is>
      </c>
      <c r="E25" s="101" t="inlineStr">
        <is>
          <t>JSON-LD·RDF/Turtle</t>
        </is>
      </c>
      <c r="F25" s="73" t="n"/>
    </row>
    <row r="26" ht="61.5" customHeight="1" s="71">
      <c r="B26" s="2" t="inlineStr">
        <is>
          <t>운영 시맨틱</t>
        </is>
      </c>
      <c r="C26" s="15" t="inlineStr">
        <is>
          <t>N/A</t>
        </is>
      </c>
      <c r="D26" s="16" t="inlineStr">
        <is>
          <t>빅데이터 카탈로그 메타데이터 — ML 사용 정의 비대상(비해당).</t>
        </is>
      </c>
      <c r="E26" s="101" t="inlineStr">
        <is>
          <t>—</t>
        </is>
      </c>
      <c r="F26" s="73" t="n"/>
    </row>
    <row r="27" ht="61.5" customHeight="1" s="71">
      <c r="B27" s="2" t="inlineStr">
        <is>
          <t>출처/계보</t>
        </is>
      </c>
      <c r="C27" s="15" t="n">
        <v>1</v>
      </c>
      <c r="D27" s="14" t="inlineStr">
        <is>
          <t>출처 관련 필드가 일부 존재한다. responsibleParty/contactPoint(표 8-1·8-3), BDC_Record의 modifiedDate·issuedDate(표 8-6, dct:W3CDTF/ITU-T X.680), sourceDomain이 있고 제6.2절이 Y.3602 provenance를 언급하나, PROV-O 등 계보 온톨로지로 형식화하지 않고 생성·가공 이력을 그래프로 표현하지 않는다.</t>
        </is>
      </c>
      <c r="E27" s="101" t="inlineStr">
        <is>
          <t>PROV-O·DCTERMS</t>
        </is>
      </c>
      <c r="F27" s="73" t="n"/>
    </row>
    <row r="28" ht="61.5" customHeight="1" s="71">
      <c r="B28" s="2" t="inlineStr">
        <is>
          <t>품질 프로파일</t>
        </is>
      </c>
      <c r="C28" s="13" t="n">
        <v>1</v>
      </c>
      <c r="D28" s="16" t="inlineStr">
        <is>
          <t>BDC_DataQuality 클래스(표 8-5)가 qualityRequirement·unitOfMeasure·qualityResult를 두어 품질을 일부 표기하나 모두 free text이며(인스턴스 'under 0.1% missing fields','passed'), DQV(dqv:QualityMeasurement/Metric) 등 표준 품질 어휘로 형식화하지 않는다.</t>
        </is>
      </c>
      <c r="E28" s="101" t="inlineStr">
        <is>
          <t>DQV</t>
        </is>
      </c>
      <c r="F28" s="73" t="n"/>
    </row>
    <row r="29" ht="61.5" customHeight="1" s="71">
      <c r="B29" s="2" t="inlineStr">
        <is>
          <t>접근/사용 제약</t>
        </is>
      </c>
      <c r="C29" s="15" t="n">
        <v>2</v>
      </c>
      <c r="D29" s="16" t="inlineStr">
        <is>
          <t>데이터 수준의 권리 메타데이터를 클래스로 명시한다. BDC_DataRight(표 8-3 45~47행)의 rightStatement(자유문)·license(URI)가 Distribution/DataService에 dataRight·serviceRight role로 연결되고, 부록 II 인스턴스가 license를 IRI(opensource.org/licenses/MIT)로 바인딩한다. accessInformation(URI)·endpointDescription(URI)도 데이터 수준 접근정보를 제공한다.</t>
        </is>
      </c>
      <c r="E29" s="101" t="inlineStr">
        <is>
          <t>DCAT·ODRL</t>
        </is>
      </c>
      <c r="F29" s="73" t="n"/>
    </row>
    <row r="30" ht="15" customHeight="1" s="71">
      <c r="B30" s="12" t="inlineStr">
        <is>
          <t>성숙도 점수</t>
        </is>
      </c>
      <c r="C30" s="91">
        <f>IF(COUNT(C23:C29)=0,"",SUM(C23:C29)/(COUNT(C23:C29)*2))</f>
        <v/>
      </c>
      <c r="D30" s="73" t="n"/>
      <c r="E30" s="73" t="n"/>
      <c r="F30" s="73" t="n"/>
    </row>
    <row r="32" ht="16.5" customHeight="1" s="71">
      <c r="B32" s="86" t="inlineStr">
        <is>
          <t>■ 종합 — 가장 시급한 개선 1~2개</t>
        </is>
      </c>
      <c r="C32" s="73" t="n"/>
      <c r="D32" s="73" t="n"/>
      <c r="E32" s="73" t="n"/>
      <c r="F32" s="73" t="n"/>
    </row>
    <row r="33" ht="21.75" customHeight="1" s="71">
      <c r="B33" s="103" t="inlineStr">
        <is>
          <t>1) 인용표준 분류 보정 — 부록 I이 규범 준용하는 W3C DCAT·Dublin Core·OWL을 참고문헌·정보성 부록에만 두지 말고 제2장 인용표준(또는 명시적 규범 어휘목록)으로 승격한다.
2) 본문↔프로파일 명칭 정합화 — organisationName/organizationName, unitOfMeausre, qualityRequirement(s) 등 데이터사전과 RDF 요소명 표기를 일치시키고 byteSize 타입(int↔xsd:unsignedLong)을 통일한다.</t>
        </is>
      </c>
      <c r="C33" s="89" t="n"/>
      <c r="D33" s="89" t="n"/>
      <c r="E33" s="89" t="n"/>
      <c r="F33" s="89" t="n"/>
    </row>
    <row r="34" ht="21.75" customHeight="1" s="71">
      <c r="B34" s="9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pageMargins left="0.3" right="0.3" top="0.4" bottom="0.4" header="0.511811023622047" footer="0.511811023622047"/>
  <pageSetup orientation="landscape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workbookViewId="0">
      <selection activeCell="A1" sqref="A1"/>
    </sheetView>
  </sheetViews>
  <sheetFormatPr baseColWidth="8" defaultColWidth="8.6328125" defaultRowHeight="14.5"/>
  <cols>
    <col width="3" customWidth="1" style="71" min="1" max="1"/>
    <col width="20" customWidth="1" style="71" min="2" max="2"/>
    <col width="11" customWidth="1" style="71" min="3" max="3"/>
    <col width="24" customWidth="1" style="71" min="4" max="4"/>
    <col width="18" customWidth="1" style="71" min="5" max="5"/>
    <col width="16" customWidth="1" style="71" min="6" max="6"/>
    <col width="3" customWidth="1" style="71" min="7" max="7"/>
  </cols>
  <sheetData>
    <row r="2" ht="24" customHeight="1" s="71">
      <c r="B2" s="87" t="inlineStr">
        <is>
          <t>AI-Ready 표준 분석 카드</t>
        </is>
      </c>
    </row>
    <row r="4" ht="15" customHeight="1" s="71">
      <c r="B4" s="86" t="inlineStr">
        <is>
          <t>■ 식별 정보</t>
        </is>
      </c>
      <c r="C4" s="73" t="n"/>
      <c r="D4" s="73" t="n"/>
      <c r="E4" s="73" t="n"/>
      <c r="F4" s="73" t="n"/>
    </row>
    <row r="5" ht="15" customHeight="1" s="71">
      <c r="B5" s="9" t="inlineStr">
        <is>
          <t>표준번호</t>
        </is>
      </c>
      <c r="C5" s="105" t="inlineStr">
        <is>
          <t>TTAK.KO-11.0326-Part6</t>
        </is>
      </c>
      <c r="D5" s="94" t="n"/>
      <c r="E5" s="9" t="inlineStr">
        <is>
          <t>판수</t>
        </is>
      </c>
      <c r="F5" s="104" t="inlineStr">
        <is>
          <t>제2판</t>
        </is>
      </c>
    </row>
    <row r="6" ht="29.25" customHeight="1" s="71">
      <c r="B6" s="9" t="inlineStr">
        <is>
          <t>표준명</t>
        </is>
      </c>
      <c r="C6" s="104" t="inlineStr">
        <is>
          <t>디지털 트윈 연합 - 제6부: 디지털 트윈 객체 데이터 모델 (Digital Twin Federation – Part 6: Data Model for Digital Twin Object)</t>
        </is>
      </c>
      <c r="D6" s="94" t="n"/>
      <c r="E6" s="9" t="inlineStr">
        <is>
          <t>제정일</t>
        </is>
      </c>
      <c r="F6" s="105" t="inlineStr">
        <is>
          <t>2023.12.06</t>
        </is>
      </c>
    </row>
    <row r="7" ht="15" customHeight="1" s="71">
      <c r="B7" s="9" t="inlineStr">
        <is>
          <t>소관 PG</t>
        </is>
      </c>
      <c r="C7" s="105" t="inlineStr">
        <is>
          <t>PG609</t>
        </is>
      </c>
      <c r="D7" s="94" t="n"/>
      <c r="E7" s="9" t="inlineStr">
        <is>
          <t>최근 개정일</t>
        </is>
      </c>
      <c r="F7" s="105" t="inlineStr">
        <is>
          <t>2024.12.06</t>
        </is>
      </c>
    </row>
    <row r="8" ht="15" customHeight="1" s="71">
      <c r="B8" s="9" t="inlineStr">
        <is>
          <t>도메인 분류</t>
        </is>
      </c>
      <c r="C8" s="104" t="inlineStr">
        <is>
          <t>디지털 트윈 / 객체 데이터 모델(NGSI-LD 기반)</t>
        </is>
      </c>
      <c r="D8" s="94" t="n"/>
      <c r="E8" s="9" t="inlineStr">
        <is>
          <t>분석 담당자</t>
        </is>
      </c>
      <c r="F8" s="105" t="inlineStr">
        <is>
          <t>(Tier1)</t>
        </is>
      </c>
    </row>
    <row r="10" ht="16.5" customHeight="1" s="71">
      <c r="B10" s="92" t="inlineStr">
        <is>
          <t>■ A축 — 품질·정합성 결함 점검</t>
        </is>
      </c>
      <c r="C10" s="73" t="n"/>
      <c r="D10" s="73" t="n"/>
      <c r="E10" s="73" t="n"/>
      <c r="F10" s="73" t="n"/>
    </row>
    <row r="11" ht="15" customHeight="1" s="71">
      <c r="B11" s="3" t="inlineStr">
        <is>
          <t>결함 유형</t>
        </is>
      </c>
      <c r="C11" s="1" t="inlineStr">
        <is>
          <t>발견</t>
        </is>
      </c>
      <c r="D11" s="82" t="inlineStr">
        <is>
          <t>구체 사례</t>
        </is>
      </c>
      <c r="E11" s="73" t="n"/>
      <c r="F11" s="1" t="inlineStr">
        <is>
          <t>자동검사</t>
        </is>
      </c>
    </row>
    <row r="12" ht="57.75" customHeight="1" s="71">
      <c r="B12" s="2" t="inlineStr">
        <is>
          <t>데이터 타입 정의 오류</t>
        </is>
      </c>
      <c r="C12" s="10" t="inlineStr">
        <is>
          <t>Y</t>
        </is>
      </c>
      <c r="D12" s="102" t="inlineStr">
        <is>
          <t>&lt;표 6-1&gt;은 'XSD에 정의된 데이터 타입은 접두사("xs:")를 생략'한다고 규정하나 7절·표 7-2 등에서 'json:String','json:Object'처럼 표준에 없는 비공식 접두 표기를 혼용한다. 또 &lt;표 6-1&gt; DateTime을 'UTC 6자리 밀리초 포함 전체 27자'로 규정하나 예시 "2018-11-15T20:09:55.000Z"는 밀리초 3자리(24자)로 정의와 불일치한다.</t>
        </is>
      </c>
      <c r="E12" s="73" t="n"/>
      <c r="F12" s="11" t="inlineStr">
        <is>
          <t>부분</t>
        </is>
      </c>
    </row>
    <row r="13" ht="57.75" customHeight="1" s="71">
      <c r="B13" s="2" t="inlineStr">
        <is>
          <t>단위 표기 모호성</t>
        </is>
      </c>
      <c r="C13" s="10" t="inlineStr">
        <is>
          <t>N/A</t>
        </is>
      </c>
      <c r="D13" s="102" t="inlineStr">
        <is>
          <t>표 6-1·6-2의 값(temperature value:17, so2 value:0.005)에 측정 단위 필드를 두지 않고 측정 단위 자체를 규정 대상으로 다루지 않으므로 본 표준에 비해당한다.</t>
        </is>
      </c>
      <c r="E13" s="73" t="n"/>
      <c r="F13" s="11" t="inlineStr">
        <is>
          <t>—</t>
        </is>
      </c>
    </row>
    <row r="14" ht="57.75" customHeight="1" s="71">
      <c r="B14" s="2" t="inlineStr">
        <is>
          <t>인용/준용표준 분류 오류</t>
        </is>
      </c>
      <c r="C14" s="10" t="inlineStr">
        <is>
          <t>Y</t>
        </is>
      </c>
      <c r="D14" s="102" t="inlineStr">
        <is>
          <t>2절 '인용 표준: 해당 사항 없음', 서문 3절도 '해당 사항 없음'이나, 5.2·6.2·6.3은 'NGSI-LD 표준을 따른다'며 규범적으로 준용하고, &lt;표 6-1&gt;은 schema.org 어휘·IETF RFC 7946 GeoJSON·ISO 8601을, &lt;표 5-1&gt;은 [출처]로 TTAK.KO-10.1331-Part4를 준용한다. 이들 규범 의존이 인용표준이 아닌 부록 Ⅱ-4 참고문헌(ITU-T Y.4600, TTAK.KO-10.1331-Part4)에만 일부 배치되었다.</t>
        </is>
      </c>
      <c r="E14" s="73" t="n"/>
      <c r="F14" s="11" t="inlineStr">
        <is>
          <t>부분</t>
        </is>
      </c>
    </row>
    <row r="15" ht="57.75" customHeight="1" s="71">
      <c r="B15" s="2" t="inlineStr">
        <is>
          <t>코드/enum 정의 오류</t>
        </is>
      </c>
      <c r="C15" s="10" t="inlineStr">
        <is>
          <t>Y</t>
        </is>
      </c>
      <c r="D15" s="102" t="inlineStr">
        <is>
          <t>&lt;표 6-3&gt; 특수 Relationship 속성명(observedBy/controlWith/hasVisualModel)은 정의되었으나, &lt;표 6-2&gt;·&lt;표 6-3&gt; 적용 예시의 JSON에서 "type": "Relationship," 처럼 닫는 따옴표가 누락된 표기가 반복되고(부록 그림 Ⅰ.1-1~3에서는 정상 "Relationship"), NGSI-LD에서 소문자 'object'로 규정되는 키가 본문 예시 전반에서 대문자 "Object"로 표기되어 enum/키 표기가 규범과 불일치한다.</t>
        </is>
      </c>
      <c r="E15" s="73" t="n"/>
      <c r="F15" s="11" t="inlineStr">
        <is>
          <t>부분</t>
        </is>
      </c>
    </row>
    <row r="16" ht="57.75" customHeight="1" s="71">
      <c r="B16" s="2" t="inlineStr">
        <is>
          <t>오타·표기 불일치</t>
        </is>
      </c>
      <c r="C16" s="10" t="inlineStr">
        <is>
          <t>Y</t>
        </is>
      </c>
      <c r="D16" s="102" t="inlineStr">
        <is>
          <t>4절 약어표에서 'API'의 풀이가 'International Organization for Standardization'(ISO 풀이)로 잘못 기재되었다. &lt;표 6-1&gt; Address 설명의 '국가코드(adddressCountry)'는 'd'가 3개인 오타이며 본문 예시 키 "addressCountry"와 불일치한다. 부록 그림 Ⅰ.1-3의 id값 "KR-02-..."는 다른 예시의 "urn:KR-02-..."와 달리 urn: 접두가 누락되었다.</t>
        </is>
      </c>
      <c r="E16" s="73" t="n"/>
      <c r="F16" s="11" t="inlineStr">
        <is>
          <t>예</t>
        </is>
      </c>
    </row>
    <row r="17" ht="57.75" customHeight="1" s="71">
      <c r="B17" s="2" t="inlineStr">
        <is>
          <t>내부 일관성</t>
        </is>
      </c>
      <c r="C17" s="10" t="inlineStr">
        <is>
          <t>Y</t>
        </is>
      </c>
      <c r="D17" s="102" t="inlineStr">
        <is>
          <t>8절 &lt;표 8-1&gt;의 표 제목이 7절 &lt;표 7-1&gt;과 동일한 '디지털 트윈 객체 특성 정보'로 표기되어 '연합 디지털 트윈 객체 특성 정보'여야 할 제목이 누락·복제되었다. 또 4절 약어표에 WGS·UTC·XSD가 등재되나 본문에서 WGS는 사용되지 않는 등 약어절↔본문 정합성이 약하다.</t>
        </is>
      </c>
      <c r="E17" s="73" t="n"/>
      <c r="F17" s="11" t="inlineStr">
        <is>
          <t>부분</t>
        </is>
      </c>
    </row>
    <row r="18" ht="57.75" customHeight="1" s="71">
      <c r="B18" s="2" t="inlineStr">
        <is>
          <t>기타</t>
        </is>
      </c>
      <c r="C18" s="10" t="inlineStr">
        <is>
          <t>N</t>
        </is>
      </c>
      <c r="D18" s="102" t="inlineStr">
        <is>
          <t>7.2의 (그림 7-1~7-3) 및 부록 그림 Ⅰ.1-1~3로 센서/제어기/시각화 연계 모델링 예시가 제공되어 규칙 적용 예가 보완되어 있으며, 위 6유형 외 별도 결함은 식별되지 않았다.</t>
        </is>
      </c>
      <c r="E18" s="73" t="n"/>
      <c r="F18" s="11" t="inlineStr">
        <is>
          <t>—</t>
        </is>
      </c>
    </row>
    <row r="19" ht="15" customHeight="1" s="71">
      <c r="B19" s="12" t="inlineStr">
        <is>
          <t>결함 발견 수 (Y)</t>
        </is>
      </c>
      <c r="C19" s="95">
        <f>COUNTIF(C12:C18,"Y")</f>
        <v/>
      </c>
      <c r="D19" s="73" t="n"/>
      <c r="E19" s="73" t="n"/>
      <c r="F19" s="73" t="n"/>
    </row>
    <row r="21" ht="16.5" customHeight="1" s="71">
      <c r="B21" s="92" t="inlineStr">
        <is>
          <t>■ B축 — AI-Ready 7개 구성요소 성숙도</t>
        </is>
      </c>
      <c r="C21" s="73" t="n"/>
      <c r="D21" s="73" t="n"/>
      <c r="E21" s="73" t="n"/>
      <c r="F21" s="73" t="n"/>
    </row>
    <row r="22" ht="15" customHeight="1" s="71">
      <c r="B22" s="3" t="inlineStr">
        <is>
          <t>구성요소</t>
        </is>
      </c>
      <c r="C22" s="1" t="inlineStr">
        <is>
          <t>등급(0/1/2)</t>
        </is>
      </c>
      <c r="D22" s="3" t="inlineStr">
        <is>
          <t>근거</t>
        </is>
      </c>
      <c r="E22" s="82" t="inlineStr">
        <is>
          <t>충족 위한 매핑 대상</t>
        </is>
      </c>
      <c r="F22" s="73" t="n"/>
    </row>
    <row r="23" ht="61.5" customHeight="1" s="71">
      <c r="B23" s="2" t="inlineStr">
        <is>
          <t>시맨틱</t>
        </is>
      </c>
      <c r="C23" s="15" t="n">
        <v>1</v>
      </c>
      <c r="D23" s="16" t="inlineStr">
        <is>
          <t>NGSI-LD 엔티티·Relationship과 schema.org 어휘를 일부 IRI/@context로(부분).</t>
        </is>
      </c>
      <c r="E23" s="101" t="inlineStr">
        <is>
          <t>NGSI-LD·schema.org IRI</t>
        </is>
      </c>
      <c r="F23" s="73" t="n"/>
    </row>
    <row r="24" ht="61.5" customHeight="1" s="71">
      <c r="B24" s="2" t="inlineStr">
        <is>
          <t>데이터 모델</t>
        </is>
      </c>
      <c r="C24" s="15" t="n">
        <v>1</v>
      </c>
      <c r="D24" s="16" t="inlineStr">
        <is>
          <t>NGSI-LD 값 타입(Property/Relationship·xs: 타입) 정의, json: 비표준 접두 혼용=A축.</t>
        </is>
      </c>
      <c r="E24" s="101" t="inlineStr">
        <is>
          <t>JSON Schema 정합화</t>
        </is>
      </c>
      <c r="F24" s="73" t="n"/>
    </row>
    <row r="25" ht="61.5" customHeight="1" s="71">
      <c r="B25" s="2" t="inlineStr">
        <is>
          <t>신태틱</t>
        </is>
      </c>
      <c r="C25" s="15" t="n">
        <v>1</v>
      </c>
      <c r="D25" s="16" t="inlineStr">
        <is>
          <t>5.2·6.2에서 NGSI-LD의 JSON 및 JSON-LD(@context) 직렬화를 명시하고 정규 표현법(type/value)을 규정하나, 규범 스키마(JSON Schema/SHACL)나 @context 문서 자체를 제공하지 않아 직렬화 규범이 형식적으로 완결되지 않았다.</t>
        </is>
      </c>
      <c r="E25" s="101" t="inlineStr">
        <is>
          <t>JSON-LD context / Croissant</t>
        </is>
      </c>
      <c r="F25" s="73" t="n"/>
    </row>
    <row r="26" ht="61.5" customHeight="1" s="71">
      <c r="B26" s="2" t="inlineStr">
        <is>
          <t>운영 시맨틱</t>
        </is>
      </c>
      <c r="C26" s="15" t="inlineStr">
        <is>
          <t>N/A</t>
        </is>
      </c>
      <c r="D26" s="16" t="inlineStr">
        <is>
          <t>디지털 트윈 객체 데이터 모델 — ML 사용 정의 비대상(비해당).</t>
        </is>
      </c>
      <c r="E26" s="101" t="inlineStr">
        <is>
          <t>—</t>
        </is>
      </c>
      <c r="F26" s="73" t="n"/>
    </row>
    <row r="27" ht="61.5" customHeight="1" s="71">
      <c r="B27" s="2" t="inlineStr">
        <is>
          <t>출처/계보</t>
        </is>
      </c>
      <c r="C27" s="15" t="n">
        <v>1</v>
      </c>
      <c r="D27" s="14" t="inlineStr">
        <is>
          <t>표 7-2·8-2에 creator·owner·contactPoint·createdAt·modifiedAt, observedBy(표 6-3) 등 출처·계보 관련 필드가 일부 존재하나, PROV-O 등 계보 어휘로 형식화되지 않고 산문 정의·문자열 값에 머문다.</t>
        </is>
      </c>
      <c r="E27" s="101" t="inlineStr">
        <is>
          <t>PROV-O</t>
        </is>
      </c>
      <c r="F27" s="73" t="n"/>
    </row>
    <row r="28" ht="61.5" customHeight="1" s="71">
      <c r="B28" s="2" t="inlineStr">
        <is>
          <t>품질 프로파일</t>
        </is>
      </c>
      <c r="C28" s="13" t="n">
        <v>0</v>
      </c>
      <c r="D28" s="16" t="inlineStr">
        <is>
          <t>표 7-2·8-2 및 6절 어디에도 정확도·신뢰도·완전성 등 데이터 품질 표기 필드가 없고 DQV 등 품질 형식화가 부재하다.</t>
        </is>
      </c>
      <c r="E28" s="101" t="inlineStr">
        <is>
          <t>DQV</t>
        </is>
      </c>
      <c r="F28" s="73" t="n"/>
    </row>
    <row r="29" ht="61.5" customHeight="1" s="71">
      <c r="B29" s="2" t="inlineStr">
        <is>
          <t>접근/사용 제약</t>
        </is>
      </c>
      <c r="C29" s="15" t="n">
        <v>0</v>
      </c>
      <c r="D29" s="16" t="inlineStr">
        <is>
          <t>표지 저작권 문구와 부록 Ⅱ-1 '지식재산권 확약서: 해당 사항 없음' 외에 데이터 수준 라이선스·접근권 메타데이터(license, accessRights 등)가 데이터 모델(표 7-2·8-2)에 정의되지 않았다.</t>
        </is>
      </c>
      <c r="E29" s="101" t="inlineStr">
        <is>
          <t>DCAT v3 / ODRL</t>
        </is>
      </c>
      <c r="F29" s="73" t="n"/>
    </row>
    <row r="30" ht="15" customHeight="1" s="71">
      <c r="B30" s="12" t="inlineStr">
        <is>
          <t>성숙도 점수</t>
        </is>
      </c>
      <c r="C30" s="91">
        <f>IF(COUNT(C23:C29)=0,"",SUM(C23:C29)/(COUNT(C23:C29)*2))</f>
        <v/>
      </c>
      <c r="D30" s="73" t="n"/>
      <c r="E30" s="73" t="n"/>
      <c r="F30" s="73" t="n"/>
    </row>
    <row r="32" ht="16.5" customHeight="1" s="71">
      <c r="B32" s="86" t="inlineStr">
        <is>
          <t>■ 종합 — 가장 시급한 개선 1~2개</t>
        </is>
      </c>
      <c r="C32" s="73" t="n"/>
      <c r="D32" s="73" t="n"/>
      <c r="E32" s="73" t="n"/>
      <c r="F32" s="73" t="n"/>
    </row>
    <row r="33" ht="21.75" customHeight="1" s="71">
      <c r="B33" s="103" t="inlineStr">
        <is>
          <t>1) 인용 표준 '해당 사항 없음'(2절) 표기를 NGSI-LD·schema.org·GeoJSON·ISO 8601·TTAK.KO-10.1331-Part4 등 규범 준용표준으로 정정해 분류 오류를 해소한다.
2) @context 문서·JSON Schema 등 규범 직렬화·어휘 바인딩을 제공하고, 품질·접근제약 메타데이터를 데이터 모델에 추가해 AI-Ready 형식화 수준을 끌어올린다.</t>
        </is>
      </c>
      <c r="C33" s="89" t="n"/>
      <c r="D33" s="89" t="n"/>
      <c r="E33" s="89" t="n"/>
      <c r="F33" s="89" t="n"/>
    </row>
    <row r="34" ht="21.75" customHeight="1" s="71">
      <c r="B34" s="9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pageMargins left="0.3" right="0.3" top="0.4" bottom="0.4" header="0.511811023622047" footer="0.511811023622047"/>
  <pageSetup orientation="landscape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workbookViewId="0">
      <selection activeCell="A1" sqref="A1"/>
    </sheetView>
  </sheetViews>
  <sheetFormatPr baseColWidth="8" defaultColWidth="8.6328125" defaultRowHeight="14.5"/>
  <cols>
    <col width="3" customWidth="1" style="71" min="1" max="1"/>
    <col width="20" customWidth="1" style="71" min="2" max="2"/>
    <col width="11" customWidth="1" style="71" min="3" max="3"/>
    <col width="24" customWidth="1" style="71" min="4" max="4"/>
    <col width="18" customWidth="1" style="71" min="5" max="5"/>
    <col width="16" customWidth="1" style="71" min="6" max="6"/>
    <col width="3" customWidth="1" style="71" min="7" max="7"/>
  </cols>
  <sheetData>
    <row r="2" ht="24" customHeight="1" s="71">
      <c r="B2" s="87" t="inlineStr">
        <is>
          <t>AI-Ready 표준 분석 카드</t>
        </is>
      </c>
    </row>
    <row r="4" ht="15" customHeight="1" s="71">
      <c r="B4" s="86" t="inlineStr">
        <is>
          <t>■ 식별 정보</t>
        </is>
      </c>
      <c r="C4" s="73" t="n"/>
      <c r="D4" s="73" t="n"/>
      <c r="E4" s="73" t="n"/>
      <c r="F4" s="73" t="n"/>
    </row>
    <row r="5" ht="15" customHeight="1" s="71">
      <c r="B5" s="9" t="inlineStr">
        <is>
          <t>표준번호</t>
        </is>
      </c>
      <c r="C5" s="105" t="inlineStr">
        <is>
          <t>TTAK.KO-10.1419</t>
        </is>
      </c>
      <c r="D5" s="94" t="n"/>
      <c r="E5" s="9" t="inlineStr">
        <is>
          <t>판수</t>
        </is>
      </c>
      <c r="F5" s="104" t="inlineStr">
        <is>
          <t>제1판</t>
        </is>
      </c>
    </row>
    <row r="6" ht="29.25" customHeight="1" s="71">
      <c r="B6" s="9" t="inlineStr">
        <is>
          <t>표준명</t>
        </is>
      </c>
      <c r="C6" s="104" t="inlineStr">
        <is>
          <t>한국어 음성 및 텍스트 데이터의 의미적 정확성 품질검증 방법 (Quality Verification for Semantic Accuracy of Voice and Text Data in Korean)</t>
        </is>
      </c>
      <c r="D6" s="94" t="n"/>
      <c r="E6" s="9" t="inlineStr">
        <is>
          <t>제정일</t>
        </is>
      </c>
      <c r="F6" s="105" t="inlineStr">
        <is>
          <t>2023.06.30</t>
        </is>
      </c>
    </row>
    <row r="7" ht="15" customHeight="1" s="71">
      <c r="B7" s="9" t="inlineStr">
        <is>
          <t>소관 PG</t>
        </is>
      </c>
      <c r="C7" s="105" t="inlineStr">
        <is>
          <t>PG1005</t>
        </is>
      </c>
      <c r="D7" s="94" t="n"/>
      <c r="E7" s="9" t="inlineStr">
        <is>
          <t>최근 개정일</t>
        </is>
      </c>
      <c r="F7" s="105" t="inlineStr">
        <is>
          <t>-</t>
        </is>
      </c>
    </row>
    <row r="8" ht="15" customHeight="1" s="71">
      <c r="B8" s="9" t="inlineStr">
        <is>
          <t>도메인 분류</t>
        </is>
      </c>
      <c r="C8" s="104" t="inlineStr">
        <is>
          <t>AI 학습데이터(음성·텍스트) / 품질검증(가이드라인형)</t>
        </is>
      </c>
      <c r="D8" s="94" t="n"/>
      <c r="E8" s="9" t="inlineStr">
        <is>
          <t>분석 담당자</t>
        </is>
      </c>
      <c r="F8" s="105" t="inlineStr">
        <is>
          <t>(Tier2)</t>
        </is>
      </c>
    </row>
    <row r="10" ht="16.5" customHeight="1" s="71">
      <c r="B10" s="92" t="inlineStr">
        <is>
          <t>■ A축 — 품질·정합성 결함 점검</t>
        </is>
      </c>
      <c r="C10" s="73" t="n"/>
      <c r="D10" s="73" t="n"/>
      <c r="E10" s="73" t="n"/>
      <c r="F10" s="73" t="n"/>
    </row>
    <row r="11" ht="15" customHeight="1" s="71">
      <c r="B11" s="3" t="inlineStr">
        <is>
          <t>결함 유형</t>
        </is>
      </c>
      <c r="C11" s="1" t="inlineStr">
        <is>
          <t>발견</t>
        </is>
      </c>
      <c r="D11" s="82" t="inlineStr">
        <is>
          <t>구체 사례</t>
        </is>
      </c>
      <c r="E11" s="73" t="n"/>
      <c r="F11" s="1" t="inlineStr">
        <is>
          <t>자동검사</t>
        </is>
      </c>
    </row>
    <row r="12" ht="57.75" customHeight="1" s="71">
      <c r="B12" s="2" t="inlineStr">
        <is>
          <t>데이터 타입 정의 오류</t>
        </is>
      </c>
      <c r="C12" s="10" t="inlineStr">
        <is>
          <t>N/A</t>
        </is>
      </c>
      <c r="D12" s="102" t="inlineStr">
        <is>
          <t>이 표준은 XML Schema·데이터 타입 정의를 두지 않는다. 6.1~6.6의 파일 포맷은 'json, txt, xml 등'(6.1)으로 예시 나열에 그치고, 부록 II의 JSON 예시도 정보전달용(Informative)이라 명시되어 타입 정의 자체가 없다. 검사 대상이 비해당이다.</t>
        </is>
      </c>
      <c r="E12" s="73" t="n"/>
      <c r="F12" s="11" t="inlineStr">
        <is>
          <t>—</t>
        </is>
      </c>
    </row>
    <row r="13" ht="57.75" customHeight="1" s="71">
      <c r="B13" s="2" t="inlineStr">
        <is>
          <t>단위 표기 모호성</t>
        </is>
      </c>
      <c r="C13" s="10" t="inlineStr">
        <is>
          <t>N</t>
        </is>
      </c>
      <c r="D13" s="102" t="inlineStr">
        <is>
          <t>전사정확성 지표 CER/WER(&lt;표 6-1&gt;, 5.4)와 정확도(%) 산식이 원본음절수·평가내용수 기준으로 일관되게 정의되고, 부록 I 1.7은 도량형·온도·단위를 이중전사로 규정한다. 단위·지표 표기에 모호성 결함은 확인되지 않는다(통과).</t>
        </is>
      </c>
      <c r="E13" s="73" t="n"/>
      <c r="F13" s="11" t="inlineStr">
        <is>
          <t>—</t>
        </is>
      </c>
    </row>
    <row r="14" ht="57.75" customHeight="1" s="71">
      <c r="B14" s="2" t="inlineStr">
        <is>
          <t>인용/준용표준 분류 오류</t>
        </is>
      </c>
      <c r="C14" s="10" t="inlineStr">
        <is>
          <t>Y</t>
        </is>
      </c>
      <c r="D14" s="102" t="inlineStr">
        <is>
          <t>본문 2장과 서문 3은 '인용 표준: 해당 사항 없음/해당 내용 없음'으로 외부 규범 의존을 부정하나, 부록 III &lt;표 III-1&gt;은 질문분석 메타데이터(TTAK.KO-10.1098), 라벨링 결과 데이터 명세(TTAK.KO-10.1336-Part2), 요약 평가방식(TTAR-10.0160) 등 11개 표준의 기준·메타데이터·평가방식을 참고함을 명시한다. 특히 &lt;표 6-1&gt; 전사정확성은 '(ETRI 전사규칙을 따름)'으로 부록 I 전사규칙을 규범적으로 준용하는데도 인용표준으로 분류하지 않았다.</t>
        </is>
      </c>
      <c r="E14" s="73" t="n"/>
      <c r="F14" s="11" t="inlineStr">
        <is>
          <t>부분</t>
        </is>
      </c>
    </row>
    <row r="15" ht="57.75" customHeight="1" s="71">
      <c r="B15" s="2" t="inlineStr">
        <is>
          <t>코드/enum 정의 오류</t>
        </is>
      </c>
      <c r="C15" s="10" t="inlineStr">
        <is>
          <t>N/A</t>
        </is>
      </c>
      <c r="D15" s="102" t="inlineStr">
        <is>
          <t>NER 개체명 유형 코드(MD_PART, TM_CELL_TISSUE_ORGAN, TMM_DISEASE, TR_MD_PROCEDURE 등)는 부록 II.6 &lt;표 II-16&gt;~&lt;표 II-18&gt;의 정보전달용 예시에만 등장하고, 본문에 정의된 코드표·enum이 없다. 검사할 규범적 코드표 자체가 비해당이다.</t>
        </is>
      </c>
      <c r="E15" s="73" t="n"/>
      <c r="F15" s="11" t="inlineStr">
        <is>
          <t>—</t>
        </is>
      </c>
    </row>
    <row r="16" ht="57.75" customHeight="1" s="71">
      <c r="B16" s="2" t="inlineStr">
        <is>
          <t>오타·표기 불일치</t>
        </is>
      </c>
      <c r="C16" s="10" t="inlineStr">
        <is>
          <t>Y</t>
        </is>
      </c>
      <c r="D16" s="102" t="inlineStr">
        <is>
          <t>&lt;표 6-6&gt;(6.4 질의응답형)과 &lt;표 6-10&gt;(6.6 주제 분야 말뭉치)의 표 제목이 각각 '요약 데이터…', '대화 데이터…'로 잘못 달려 있다. 목차의 '6.3 요약 데이터' 쪽번호가 '?'로 비어 있고, 부록 II JSON 예시에 'TextNo : ' 뒤 닫는 따옴표 누락, 'TopicID': Top001' 여는 따옴표 누락, 동일 화자 키 SpeakerD/SpeakerID 혼용 등 표기 오류가 다수다.</t>
        </is>
      </c>
      <c r="E16" s="73" t="n"/>
      <c r="F16" s="11" t="inlineStr">
        <is>
          <t>예</t>
        </is>
      </c>
    </row>
    <row r="17" ht="57.75" customHeight="1" s="71">
      <c r="B17" s="2" t="inlineStr">
        <is>
          <t>내부 일관성</t>
        </is>
      </c>
      <c r="C17" s="10" t="inlineStr">
        <is>
          <t>Y</t>
        </is>
      </c>
      <c r="D17" s="102" t="inlineStr">
        <is>
          <t>4장 약어는 JSON·NLP·NER·POS만 등재하나, &lt;표 6-1&gt;·5.4에서 핵심 지표로 쓰는 CER·WER와 부록 II의 LAT·SAT·NE가 약어절에 누락되어 본문과 불일치한다. 또 &lt;표 5-1&gt; 제목 '주요 품질검증 항목'과 &lt;표 5-2&gt; 제목 '주요 품질검증 항목 및 범위'가 동일 어구를 중복 표기하고, 목차의 부록 III·Ⅳ 쪽번호(III=41 표기·실제 38)가 실제 위치와 어긋난다.</t>
        </is>
      </c>
      <c r="E17" s="73" t="n"/>
      <c r="F17" s="11" t="inlineStr">
        <is>
          <t>부분</t>
        </is>
      </c>
    </row>
    <row r="18" ht="57.75" customHeight="1" s="71">
      <c r="B18" s="2" t="inlineStr">
        <is>
          <t>기타</t>
        </is>
      </c>
      <c r="C18" s="10" t="inlineStr">
        <is>
          <t>N</t>
        </is>
      </c>
      <c r="D18" s="102" t="inlineStr">
        <is>
          <t>적용범위(1장)·검증 항목(5.3 &lt;표 5-1&gt;)·검증 방법(6장)·예시(부록 II)의 구성은 일관되며, 위 분류 외의 별도 결함은 확인되지 않는다.</t>
        </is>
      </c>
      <c r="E18" s="73" t="n"/>
      <c r="F18" s="11" t="inlineStr">
        <is>
          <t>—</t>
        </is>
      </c>
    </row>
    <row r="19" ht="15" customHeight="1" s="71">
      <c r="B19" s="12" t="inlineStr">
        <is>
          <t>결함 발견 수 (Y)</t>
        </is>
      </c>
      <c r="C19" s="95">
        <f>COUNTIF(C12:C18,"Y")</f>
        <v/>
      </c>
      <c r="D19" s="73" t="n"/>
      <c r="E19" s="73" t="n"/>
      <c r="F19" s="73" t="n"/>
    </row>
    <row r="21" ht="16.5" customHeight="1" s="71">
      <c r="B21" s="92" t="inlineStr">
        <is>
          <t>■ B축 — AI-Ready 7개 구성요소 성숙도</t>
        </is>
      </c>
      <c r="C21" s="73" t="n"/>
      <c r="D21" s="73" t="n"/>
      <c r="E21" s="73" t="n"/>
      <c r="F21" s="73" t="n"/>
    </row>
    <row r="22" ht="15" customHeight="1" s="71">
      <c r="B22" s="3" t="inlineStr">
        <is>
          <t>구성요소</t>
        </is>
      </c>
      <c r="C22" s="1" t="inlineStr">
        <is>
          <t>등급(0/1/2)</t>
        </is>
      </c>
      <c r="D22" s="3" t="inlineStr">
        <is>
          <t>근거</t>
        </is>
      </c>
      <c r="E22" s="82" t="inlineStr">
        <is>
          <t>충족 위한 매핑 대상</t>
        </is>
      </c>
      <c r="F22" s="73" t="n"/>
    </row>
    <row r="23" ht="61.5" customHeight="1" s="71">
      <c r="B23" s="2" t="inlineStr">
        <is>
          <t>시맨틱</t>
        </is>
      </c>
      <c r="C23" s="15" t="n">
        <v>0</v>
      </c>
      <c r="D23" s="16" t="inlineStr">
        <is>
          <t>의미적 정확성 품질 항목 의미가 로컬 명칭·산문, 전역 어휘 미연결.</t>
        </is>
      </c>
      <c r="E23" s="101" t="inlineStr">
        <is>
          <t>DQV; skos</t>
        </is>
      </c>
      <c r="F23" s="73" t="n"/>
    </row>
    <row r="24" ht="61.5" customHeight="1" s="71">
      <c r="B24" s="2" t="inlineStr">
        <is>
          <t>데이터 모델</t>
        </is>
      </c>
      <c r="C24" s="15" t="n">
        <v>1</v>
      </c>
      <c r="D24" s="16" t="inlineStr">
        <is>
          <t>CER/WER·Likert 척도·검사 항목의 값 체계를 표로 정의(검증 스키마 없음).</t>
        </is>
      </c>
      <c r="E24" s="101" t="inlineStr">
        <is>
          <t>SHACL/DQV</t>
        </is>
      </c>
      <c r="F24" s="73" t="n"/>
    </row>
    <row r="25" ht="61.5" customHeight="1" s="71">
      <c r="B25" s="2" t="inlineStr">
        <is>
          <t>신태틱</t>
        </is>
      </c>
      <c r="C25" s="15" t="n">
        <v>1</v>
      </c>
      <c r="D25" s="16" t="inlineStr">
        <is>
          <t>6.1은 텍스트 포맷을 'json, xml, txt 등'으로 언급하고 부록 II에 JSON 예시를 제시하나, '정보전달을 위한 예시'로만 명시될 뿐 규범적 스키마·JSON-LD/RDF 직렬화는 제공하지 않는다.</t>
        </is>
      </c>
      <c r="E25" s="101" t="inlineStr">
        <is>
          <t>JSON-LD, Croissant</t>
        </is>
      </c>
      <c r="F25" s="73" t="n"/>
    </row>
    <row r="26" ht="61.5" customHeight="1" s="71">
      <c r="B26" s="2" t="inlineStr">
        <is>
          <t>운영 시맨틱</t>
        </is>
      </c>
      <c r="C26" s="15" t="n">
        <v>0</v>
      </c>
      <c r="D26" s="16" t="inlineStr">
        <is>
          <t>음성·텍스트 학습데이터 대상이나 split·feature/label 선언 없음.</t>
        </is>
      </c>
      <c r="E26" s="101" t="inlineStr">
        <is>
          <t>Croissant ML 계층</t>
        </is>
      </c>
      <c r="F26" s="73" t="n"/>
    </row>
    <row r="27" ht="61.5" customHeight="1" s="71">
      <c r="B27" s="2" t="inlineStr">
        <is>
          <t>출처/계보</t>
        </is>
      </c>
      <c r="C27" s="15" t="n">
        <v>0</v>
      </c>
      <c r="D27" s="14" t="inlineStr">
        <is>
          <t>규범 본문에는 출처·계보 필드가 없다. 부록 II.3 예시의 DocPub·DocYear·DocLicense, II.4의 Knowledge_URL/AnswerSource는 모두 정보전달용 예시(부록 표지 '표준의 일부는 아님')에 한정되어 규범적 출처 메타데이터로 보기 어렵다.</t>
        </is>
      </c>
      <c r="E27" s="101" t="inlineStr">
        <is>
          <t>PROV-O</t>
        </is>
      </c>
      <c r="F27" s="73" t="n"/>
    </row>
    <row r="28" ht="61.5" customHeight="1" s="71">
      <c r="B28" s="2" t="inlineStr">
        <is>
          <t>품질 프로파일</t>
        </is>
      </c>
      <c r="C28" s="13" t="n">
        <v>1</v>
      </c>
      <c r="D28" s="16" t="inlineStr">
        <is>
          <t>표준 자체가 품질검증 가이드로 정확성·정확도·Pass/Fail·Likert 등 품질 지표를 5.3~6장에서 정의하나, 품질 신호가 산문·점수·Pass/Fail enum 수준이고 DQV 등 품질 어휘로 형식화되지 않았다.</t>
        </is>
      </c>
      <c r="E28" s="101" t="inlineStr">
        <is>
          <t>DQV</t>
        </is>
      </c>
      <c r="F28" s="73" t="n"/>
    </row>
    <row r="29" ht="61.5" customHeight="1" s="71">
      <c r="B29" s="2" t="inlineStr">
        <is>
          <t>접근/사용 제약</t>
        </is>
      </c>
      <c r="C29" s="15" t="n">
        <v>1</v>
      </c>
      <c r="D29" s="16" t="inlineStr">
        <is>
          <t>표지에 문서 수준 저작권(TTA 귀속)이 명시되고, 부록 II.3 예시에 DocLicense 'CC BY-NC' 필드가 보이나 정보전달용 예시에 그친다. 데이터 수준 라이선스·접근권을 DCAT/ODRL로 규범화하지 않아 문서 수준 저작권 표기에 해당하는 1이다.</t>
        </is>
      </c>
      <c r="E29" s="101" t="inlineStr">
        <is>
          <t>DCAT, ODRL</t>
        </is>
      </c>
      <c r="F29" s="73" t="n"/>
    </row>
    <row r="30" ht="15" customHeight="1" s="71">
      <c r="B30" s="12" t="inlineStr">
        <is>
          <t>성숙도 점수</t>
        </is>
      </c>
      <c r="C30" s="91">
        <f>IF(COUNT(C23:C29)=0,"",SUM(C23:C29)/(COUNT(C23:C29)*2))</f>
        <v/>
      </c>
      <c r="D30" s="73" t="n"/>
      <c r="E30" s="73" t="n"/>
      <c r="F30" s="73" t="n"/>
    </row>
    <row r="32" ht="16.5" customHeight="1" s="71">
      <c r="B32" s="86" t="inlineStr">
        <is>
          <t>■ 종합 — 가장 시급한 개선 1~2개</t>
        </is>
      </c>
      <c r="C32" s="73" t="n"/>
      <c r="D32" s="73" t="n"/>
      <c r="E32" s="73" t="n"/>
      <c r="F32" s="73" t="n"/>
    </row>
    <row r="33" ht="21.75" customHeight="1" s="71">
      <c r="B33" s="103" t="inlineStr">
        <is>
          <t>1) 2장 '인용 표준 해당 없음' 표기를 정정하여 부록 III·ETRI 전사규칙 등 규범적 준용 표준을 인용표준으로 명시한다.
2) 검증 항목·NER 유형을 SKOS/schema.org 전역 어휘에 바인딩하고 JSON 예시를 JSON-LD 규범 스키마로 승격하여 AI-Ready 전환의 출발점을 만든다.</t>
        </is>
      </c>
      <c r="C33" s="89" t="n"/>
      <c r="D33" s="89" t="n"/>
      <c r="E33" s="89" t="n"/>
      <c r="F33" s="89" t="n"/>
    </row>
    <row r="34" ht="21.75" customHeight="1" s="71">
      <c r="B34" s="9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pageMargins left="0.3" right="0.3" top="0.4" bottom="0.4" header="0.511811023622047" footer="0.511811023622047"/>
  <pageSetup orientation="landscape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topLeftCell="A19" workbookViewId="0">
      <selection activeCell="A1" sqref="A1"/>
    </sheetView>
  </sheetViews>
  <sheetFormatPr baseColWidth="8" defaultColWidth="8.6328125" defaultRowHeight="14.5"/>
  <cols>
    <col width="3" customWidth="1" style="71" min="1" max="1"/>
    <col width="20" customWidth="1" style="71" min="2" max="2"/>
    <col width="11" customWidth="1" style="71" min="3" max="3"/>
    <col width="24" customWidth="1" style="71" min="4" max="4"/>
    <col width="18" customWidth="1" style="71" min="5" max="5"/>
    <col width="16" customWidth="1" style="71" min="6" max="6"/>
    <col width="3" customWidth="1" style="71" min="7" max="7"/>
  </cols>
  <sheetData>
    <row r="2" ht="24" customHeight="1" s="71">
      <c r="B2" s="87" t="inlineStr">
        <is>
          <t>AI-Ready 표준 분석 카드</t>
        </is>
      </c>
    </row>
    <row r="4" ht="15" customHeight="1" s="71">
      <c r="B4" s="86" t="inlineStr">
        <is>
          <t>■ 식별 정보</t>
        </is>
      </c>
      <c r="C4" s="73" t="n"/>
      <c r="D4" s="73" t="n"/>
      <c r="E4" s="73" t="n"/>
      <c r="F4" s="73" t="n"/>
    </row>
    <row r="5" ht="15" customHeight="1" s="71">
      <c r="B5" s="9" t="inlineStr">
        <is>
          <t>표준번호</t>
        </is>
      </c>
      <c r="C5" s="105" t="inlineStr">
        <is>
          <t>TTAK.KO-10.1561</t>
        </is>
      </c>
      <c r="D5" s="94" t="n"/>
      <c r="E5" s="9" t="inlineStr">
        <is>
          <t>판수</t>
        </is>
      </c>
      <c r="F5" s="104" t="inlineStr">
        <is>
          <t>제1판</t>
        </is>
      </c>
    </row>
    <row r="6" ht="29.25" customHeight="1" s="71">
      <c r="B6" s="9" t="inlineStr">
        <is>
          <t>표준명</t>
        </is>
      </c>
      <c r="C6" s="104" t="inlineStr">
        <is>
          <t>검증가능한 크리덴셜 기반 사용자 신원확인을 위한 프로파일</t>
        </is>
      </c>
      <c r="D6" s="94" t="n"/>
      <c r="E6" s="9" t="inlineStr">
        <is>
          <t>제정일</t>
        </is>
      </c>
      <c r="F6" s="105" t="inlineStr">
        <is>
          <t>2024.12.06</t>
        </is>
      </c>
    </row>
    <row r="7" ht="15" customHeight="1" s="71">
      <c r="B7" s="9" t="inlineStr">
        <is>
          <t>소관 PG</t>
        </is>
      </c>
      <c r="C7" s="105" t="inlineStr">
        <is>
          <t>PG1006</t>
        </is>
      </c>
      <c r="D7" s="94" t="n"/>
      <c r="E7" s="9" t="inlineStr">
        <is>
          <t>최근 개정일</t>
        </is>
      </c>
      <c r="F7" s="105" t="inlineStr">
        <is>
          <t>-</t>
        </is>
      </c>
    </row>
    <row r="8" ht="15" customHeight="1" s="71">
      <c r="B8" s="9" t="inlineStr">
        <is>
          <t>도메인 분류</t>
        </is>
      </c>
      <c r="C8" s="104" t="inlineStr">
        <is>
          <t>분산신원(DID/VC) / 신원확인 프로파일(자격증명 데이터모델 준용형)</t>
        </is>
      </c>
      <c r="D8" s="94" t="n"/>
      <c r="E8" s="9" t="inlineStr">
        <is>
          <t>분석 담당자</t>
        </is>
      </c>
      <c r="F8" s="105" t="inlineStr">
        <is>
          <t>(Tier3)</t>
        </is>
      </c>
    </row>
    <row r="10" ht="16.5" customHeight="1" s="71">
      <c r="B10" s="92" t="inlineStr">
        <is>
          <t>■ A축 — 품질·정합성 결함 점검</t>
        </is>
      </c>
      <c r="C10" s="73" t="n"/>
      <c r="D10" s="73" t="n"/>
      <c r="E10" s="73" t="n"/>
      <c r="F10" s="73" t="n"/>
    </row>
    <row r="11" ht="15" customHeight="1" s="71">
      <c r="B11" s="3" t="inlineStr">
        <is>
          <t>결함 유형</t>
        </is>
      </c>
      <c r="C11" s="1" t="inlineStr">
        <is>
          <t>발견</t>
        </is>
      </c>
      <c r="D11" s="82" t="inlineStr">
        <is>
          <t>구체 사례</t>
        </is>
      </c>
      <c r="E11" s="73" t="n"/>
      <c r="F11" s="1" t="inlineStr">
        <is>
          <t>자동검사</t>
        </is>
      </c>
    </row>
    <row r="12" ht="57.75" customHeight="1" s="71">
      <c r="B12" s="2" t="inlineStr">
        <is>
          <t>데이터 타입 정의 오류</t>
        </is>
      </c>
      <c r="C12" s="10" t="inlineStr">
        <is>
          <t>N</t>
        </is>
      </c>
      <c r="D12" s="102" t="inlineStr">
        <is>
          <t>issuanceDate·expirationDate(표 6-7·6-10)는 RFC 3339 date-time ABNF를, birthDate(표 6-23)는 full-date(YYYY-MM-DD)를, email(표 6-31)은 RFC 5322 ABNF를, telephone(표 6-37)은 RFC 5234 ABNF를 그대로 인용해 타입 정의가 외부 규범과 일치한다. XML Schema형 타입 오기와 같은 사실오류는 발견되지 않는다.</t>
        </is>
      </c>
      <c r="E12" s="73" t="n"/>
      <c r="F12" s="11" t="inlineStr">
        <is>
          <t>—</t>
        </is>
      </c>
    </row>
    <row r="13" ht="57.75" customHeight="1" s="71">
      <c r="B13" s="2" t="inlineStr">
        <is>
          <t>단위 표기 모호성</t>
        </is>
      </c>
      <c r="C13" s="10" t="inlineStr">
        <is>
          <t>N</t>
        </is>
      </c>
      <c r="D13" s="102" t="inlineStr">
        <is>
          <t>측정 단위 사용이 적고, 6.2.8 image의 '3cm x 4cm 이상', '300DPI', '265 x 350 pixel'은 cm·DPI·pixel을 명확히 병기하고 환산식까지 제시해 모호하지 않다. nationality는 ISO 3166-1 alpha-2 코드 체계를 명시한다.</t>
        </is>
      </c>
      <c r="E13" s="73" t="n"/>
      <c r="F13" s="11" t="inlineStr">
        <is>
          <t>—</t>
        </is>
      </c>
    </row>
    <row r="14" ht="57.75" customHeight="1" s="71">
      <c r="B14" s="2" t="inlineStr">
        <is>
          <t>인용/준용표준 분류 오류</t>
        </is>
      </c>
      <c r="C14" s="10" t="inlineStr">
        <is>
          <t>Y</t>
        </is>
      </c>
      <c r="D14" s="102" t="inlineStr">
        <is>
          <t>2절 '인용 표준'에는 'W3C, Verifiable Credentials Data Model 1.0'만 등재한다. 그러나 6.2.1.1 'DID 표기 방법은 W3C, Decentralized Identifiers(DIDs) 1.0을 준수한다', 6.1.4/6.1.6 'RFC 3339 준수', 6.2.8.1 'Base64(RFC 4648 준수)·data URL scheme(RFC 2397 준수)', 6.2.9 'RFC 5322', 6.2.11 'RFC 5234', 6.2.6 'ISO 3166-1:2020', 6.1.8/6.1.9 'WebIDL'을 규범적('준수한다')으로 요구하면서 이들을 부록 Ⅱ-4 참고문헌에만 둔다. 규범적 의존을 인용표준에서 누락한 분류 오류다.</t>
        </is>
      </c>
      <c r="E14" s="73" t="n"/>
      <c r="F14" s="11" t="inlineStr">
        <is>
          <t>부분</t>
        </is>
      </c>
    </row>
    <row r="15" ht="57.75" customHeight="1" s="71">
      <c r="B15" s="2" t="inlineStr">
        <is>
          <t>코드/enum 정의 오류</t>
        </is>
      </c>
      <c r="C15" s="10" t="inlineStr">
        <is>
          <t>Y</t>
        </is>
      </c>
      <c r="D15" s="102" t="inlineStr">
        <is>
          <t>표 6-16 evidenceDocument enum과 표 6-17 documentPresence enum에 열거값이 아닌 자료형 토큰 String을 enum 멤버로 포함한다(예: {DriversLicense, Resident Registration Number, Identity verification agency, String}). enum은 고정 리터럴 집합이어야 하므로 String을 임의값 허용 표시로 혼용한 것은 enum 정의 오류이며, 'Resident Registration Number' 등 공백 포함 값을 식별자로 사용한다.</t>
        </is>
      </c>
      <c r="E15" s="73" t="n"/>
      <c r="F15" s="11" t="inlineStr">
        <is>
          <t>예</t>
        </is>
      </c>
    </row>
    <row r="16" ht="57.75" customHeight="1" s="71">
      <c r="B16" s="2" t="inlineStr">
        <is>
          <t>오타·표기 불일치</t>
        </is>
      </c>
      <c r="C16" s="10" t="inlineStr">
        <is>
          <t>Y</t>
        </is>
      </c>
      <c r="D16" s="102" t="inlineStr">
        <is>
          <t>6.1.1이 정의한 context IRI는 '.../user_identity/v1'이나, 표 6-1·6-2는 'user_ identity'로 공백이 삽입되고 표 6-4·6-8·6-11·6-12·6-15·6-20~6-42 등 후속 예제 대부분은 'user_identtity'(t 중복)로 오기된다. 6.2.7 본문은 속성명을 'natinalId'로 두 번 오기(정의 제목 nationalId), 6.1.9는 '신원학인', 다수 예제 키는 'nationality '(후행 공백)로 표기 불일치가 반복된다.</t>
        </is>
      </c>
      <c r="E16" s="73" t="n"/>
      <c r="F16" s="11" t="inlineStr">
        <is>
          <t>예</t>
        </is>
      </c>
    </row>
    <row r="17" ht="57.75" customHeight="1" s="71">
      <c r="B17" s="2" t="inlineStr">
        <is>
          <t>내부 일관성</t>
        </is>
      </c>
      <c r="C17" s="10" t="inlineStr">
        <is>
          <t>Y</t>
        </is>
      </c>
      <c r="D17" s="102" t="inlineStr">
        <is>
          <t>부록 표 Ⅰ.1-2는 '2 firstName … 성 / 3 lastName … 이름'으로 적어 firstName=성·lastName=이름으로 매핑하나, 6.2.2는 'firstName은 VC 주체의 이름', 6.2.3은 'lastName은 VC 주체의 성'으로 정반대이며 표 6-22 예제는 firstName:'길동', lastName:'홍'으로 6.2절을 따른다. 또한 표 6-40 예제는 'telephone':'02-1111-1111' 다음 줄에 콤마 없이 'mobilephone'을 이어 적어 JSON 문법이 깨진다.</t>
        </is>
      </c>
      <c r="E17" s="73" t="n"/>
      <c r="F17" s="11" t="inlineStr">
        <is>
          <t>부분</t>
        </is>
      </c>
    </row>
    <row r="18" ht="57.75" customHeight="1" s="71">
      <c r="B18" s="2" t="inlineStr">
        <is>
          <t>기타</t>
        </is>
      </c>
      <c r="C18" s="10" t="inlineStr">
        <is>
          <t>Y</t>
        </is>
      </c>
      <c r="D18" s="102" t="inlineStr">
        <is>
          <t>6.2.7은 'nationalId가 포함되면 반드시 nationality 항목도 포함'이라는 조건부 필수를 산문으로만 두고 부록 표 Ⅰ.1-1·Ⅰ.1-2의 M/O 열은 이 의존을 표현하지 못한다. 또한 표 6-22·6-29·6-30 등 다수 예제가 닫힘 괄호가 누락된 부분 JSON 조각으로 제시되어 그대로 기계 적재·검증하기 어렵다.</t>
        </is>
      </c>
      <c r="E18" s="73" t="n"/>
      <c r="F18" s="11" t="inlineStr">
        <is>
          <t>부분</t>
        </is>
      </c>
    </row>
    <row r="19" ht="15" customHeight="1" s="71">
      <c r="B19" s="12" t="inlineStr">
        <is>
          <t>결함 발견 수 (Y)</t>
        </is>
      </c>
      <c r="C19" s="95">
        <f>COUNTIF(C12:C18,"Y")</f>
        <v/>
      </c>
      <c r="D19" s="73" t="n"/>
      <c r="E19" s="73" t="n"/>
      <c r="F19" s="73" t="n"/>
    </row>
    <row r="21" ht="16.5" customHeight="1" s="71">
      <c r="B21" s="92" t="inlineStr">
        <is>
          <t>■ B축 — AI-Ready 7개 구성요소 성숙도</t>
        </is>
      </c>
      <c r="C21" s="73" t="n"/>
      <c r="D21" s="73" t="n"/>
      <c r="E21" s="73" t="n"/>
      <c r="F21" s="73" t="n"/>
    </row>
    <row r="22" ht="15" customHeight="1" s="71">
      <c r="B22" s="3" t="inlineStr">
        <is>
          <t>구성요소</t>
        </is>
      </c>
      <c r="C22" s="1" t="inlineStr">
        <is>
          <t>등급(0/1/2)</t>
        </is>
      </c>
      <c r="D22" s="3" t="inlineStr">
        <is>
          <t>근거</t>
        </is>
      </c>
      <c r="E22" s="82" t="inlineStr">
        <is>
          <t>충족 위한 매핑 대상</t>
        </is>
      </c>
      <c r="F22" s="73" t="n"/>
    </row>
    <row r="23" ht="61.5" customHeight="1" s="71">
      <c r="B23" s="2" t="inlineStr">
        <is>
          <t>시맨틱</t>
        </is>
      </c>
      <c r="C23" s="15" t="n">
        <v>2</v>
      </c>
      <c r="D23" s="16" t="inlineStr">
        <is>
          <t>W3C VC/DID 클래스와 credentialSubject 관계를 IRI·@context로 표현.</t>
        </is>
      </c>
      <c r="E23" s="101" t="inlineStr">
        <is>
          <t>(충족)</t>
        </is>
      </c>
      <c r="F23" s="73" t="n"/>
    </row>
    <row r="24" ht="61.5" customHeight="1" s="71">
      <c r="B24" s="2" t="inlineStr">
        <is>
          <t>데이터 모델</t>
        </is>
      </c>
      <c r="C24" s="15" t="n">
        <v>1</v>
      </c>
      <c r="D24" s="16" t="inlineStr">
        <is>
          <t>VC 클레임 값 타입·@context를 정의(‘user_identtity’ 오기=A축), 형식 스키마 부분.</t>
        </is>
      </c>
      <c r="E24" s="101" t="inlineStr">
        <is>
          <t>SHACL로 클레임 제약</t>
        </is>
      </c>
      <c r="F24" s="73" t="n"/>
    </row>
    <row r="25" ht="61.5" customHeight="1" s="71">
      <c r="B25" s="2" t="inlineStr">
        <is>
          <t>신태틱</t>
        </is>
      </c>
      <c r="C25" s="15" t="n">
        <v>2</v>
      </c>
      <c r="D25" s="16" t="inlineStr">
        <is>
          <t>JSON-LD 직렬화를 규범으로 채택한다. 모든 예제(표 6-1~6-42)가 @context 포함 JSON-LD이며 6.1.1이 컨텍스트 게시를 규정하고 RFC 3339·Base64·data URL 등 값 직렬화 규범도 제시된다. 다만 예제 다수에 콤마 누락·괄호 미닫힘 등 비유효 JSON이 섞여 규범 적합성에는 흠이 있다.</t>
        </is>
      </c>
      <c r="E25" s="101" t="inlineStr">
        <is>
          <t>JSON-LD / W3C VC</t>
        </is>
      </c>
      <c r="F25" s="73" t="n"/>
    </row>
    <row r="26" ht="61.5" customHeight="1" s="71">
      <c r="B26" s="2" t="inlineStr">
        <is>
          <t>운영 시맨틱</t>
        </is>
      </c>
      <c r="C26" s="15" t="inlineStr">
        <is>
          <t>N/A</t>
        </is>
      </c>
      <c r="D26" s="16" t="inlineStr">
        <is>
          <t>검증가능 크리덴셜 신원 프로파일 — ML 사용 정의 비대상(비해당).</t>
        </is>
      </c>
      <c r="E26" s="101" t="inlineStr">
        <is>
          <t>—</t>
        </is>
      </c>
      <c r="F26" s="73" t="n"/>
    </row>
    <row r="27" ht="61.5" customHeight="1" s="71">
      <c r="B27" s="2" t="inlineStr">
        <is>
          <t>출처/계보</t>
        </is>
      </c>
      <c r="C27" s="15" t="n">
        <v>1</v>
      </c>
      <c r="D27" s="14" t="inlineStr">
        <is>
          <t>출처 관련 필드가 일부 존재한다. issuer(6.1.3)·issuanceDate(6.1.4)·proof(6.1.5)로 발급자·발급일·서명을, evidence/evidenceDocument(6.1.9, 표 6-16)로 발급 전 신원확인 수단을 기록한다. 그러나 PROV-O 등 계보 온톨로지로 형식화되지 않고 VC 자체 속성으로만 표현된다.</t>
        </is>
      </c>
      <c r="E27" s="101" t="inlineStr">
        <is>
          <t>PROV-O</t>
        </is>
      </c>
      <c r="F27" s="73" t="n"/>
    </row>
    <row r="28" ht="61.5" customHeight="1" s="71">
      <c r="B28" s="2" t="inlineStr">
        <is>
          <t>품질 프로파일</t>
        </is>
      </c>
      <c r="C28" s="13" t="n">
        <v>0</v>
      </c>
      <c r="D28" s="16" t="inlineStr">
        <is>
          <t>데이터 품질 신호 자체가 부재하다. credentialStatus(6.1.7)는 만료·취소 상태로 품질이 아닌 유효성 관리이며, 정확도·완전성·신선도 등 품질 차원이나 DQV 표기가 전혀 없다.</t>
        </is>
      </c>
      <c r="E28" s="101" t="inlineStr">
        <is>
          <t>DQV</t>
        </is>
      </c>
      <c r="F28" s="73" t="n"/>
    </row>
    <row r="29" ht="61.5" customHeight="1" s="71">
      <c r="B29" s="2" t="inlineStr">
        <is>
          <t>접근/사용 제약</t>
        </is>
      </c>
      <c r="C29" s="15" t="n">
        <v>1</v>
      </c>
      <c r="D29" s="16" t="inlineStr">
        <is>
          <t>문서 수준 저작권만 존재한다. 표지에 TTA 저작권 고지가 있고 termsOfUse(6.1.8, 표 6-13)로 IssuerPolicy/HolderPolicy와 profile URI를 표현하나, 이는 약관 링크 수준이며 DCAT/ODRL로 데이터 수준 접근권·라이선스가 기계가독 정책으로 형식화되어 있지 않다.</t>
        </is>
      </c>
      <c r="E29" s="101" t="inlineStr">
        <is>
          <t>ODRL / DCAT v3</t>
        </is>
      </c>
      <c r="F29" s="73" t="n"/>
    </row>
    <row r="30" ht="15" customHeight="1" s="71">
      <c r="B30" s="12" t="inlineStr">
        <is>
          <t>성숙도 점수</t>
        </is>
      </c>
      <c r="C30" s="91">
        <f>IF(COUNT(C23:C29)=0,"",SUM(C23:C29)/(COUNT(C23:C29)*2))</f>
        <v/>
      </c>
      <c r="D30" s="73" t="n"/>
      <c r="E30" s="73" t="n"/>
      <c r="F30" s="73" t="n"/>
    </row>
    <row r="32" ht="16.5" customHeight="1" s="71">
      <c r="B32" s="86" t="inlineStr">
        <is>
          <t>■ 종합 — 가장 시급한 개선 1~2개</t>
        </is>
      </c>
      <c r="C32" s="73" t="n"/>
      <c r="D32" s="73" t="n"/>
      <c r="E32" s="73" t="n"/>
      <c r="F32" s="73" t="n"/>
    </row>
    <row r="33" ht="21.75" customHeight="1" s="71">
      <c r="B33" s="103" t="inlineStr">
        <is>
          <t>1) 2절 인용표준이 W3C VC 1.0 하나뿐이나 W3C DID v1.0·RFC 3339/4648/2397/5322/5234·ISO 3166-1·WebIDL을 본문에서 '준수한다'로 규범 요구하므로 인용표준으로 승격해야 한다.
2) context IRI가 정의(user_identity)와 예제(user_identtity/user_ identity)에서 불일치하고 firstName/lastName 라벨이 본문과 부록에서 뒤바뀌어 발급·검증 SW 상호운용을 직접 깨뜨리므로 우선 교정한다.</t>
        </is>
      </c>
      <c r="C33" s="89" t="n"/>
      <c r="D33" s="89" t="n"/>
      <c r="E33" s="89" t="n"/>
      <c r="F33" s="89" t="n"/>
    </row>
    <row r="34" ht="21.75" customHeight="1" s="71">
      <c r="B34" s="9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pageMargins left="0.3" right="0.3" top="0.4" bottom="0.4" header="0.511811023622047" footer="0.511811023622047"/>
  <pageSetup orientation="landscape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workbookViewId="0">
      <selection activeCell="A1" sqref="A1"/>
    </sheetView>
  </sheetViews>
  <sheetFormatPr baseColWidth="8" defaultColWidth="8.6328125" defaultRowHeight="14.5"/>
  <cols>
    <col width="3" customWidth="1" style="71" min="1" max="1"/>
    <col width="20" customWidth="1" style="71" min="2" max="2"/>
    <col width="11" customWidth="1" style="71" min="3" max="3"/>
    <col width="24" customWidth="1" style="71" min="4" max="4"/>
    <col width="18" customWidth="1" style="71" min="5" max="5"/>
    <col width="16" customWidth="1" style="71" min="6" max="6"/>
    <col width="3" customWidth="1" style="71" min="7" max="7"/>
  </cols>
  <sheetData>
    <row r="2" ht="24" customHeight="1" s="71">
      <c r="B2" s="87" t="inlineStr">
        <is>
          <t>AI-Ready 표준 분석 카드</t>
        </is>
      </c>
    </row>
    <row r="4" ht="15" customHeight="1" s="71">
      <c r="B4" s="86" t="inlineStr">
        <is>
          <t>■ 식별 정보</t>
        </is>
      </c>
      <c r="C4" s="73" t="n"/>
      <c r="D4" s="73" t="n"/>
      <c r="E4" s="73" t="n"/>
      <c r="F4" s="73" t="n"/>
    </row>
    <row r="5" ht="15" customHeight="1" s="71">
      <c r="B5" s="9" t="inlineStr">
        <is>
          <t>표준번호</t>
        </is>
      </c>
      <c r="C5" s="105" t="inlineStr">
        <is>
          <t>TTAK.KO-10.1500</t>
        </is>
      </c>
      <c r="D5" s="94" t="n"/>
      <c r="E5" s="9" t="inlineStr">
        <is>
          <t>판수</t>
        </is>
      </c>
      <c r="F5" s="104" t="inlineStr">
        <is>
          <t>제1판</t>
        </is>
      </c>
    </row>
    <row r="6" ht="29.25" customHeight="1" s="71">
      <c r="B6" s="9" t="inlineStr">
        <is>
          <t>표준명</t>
        </is>
      </c>
      <c r="C6" s="104" t="inlineStr">
        <is>
          <t>대체 불가능 토큰(NFT)의 디지털 콘텐츠 저작권 정보 확인 명세 (Specifications for Confirming Copyright Information of NFT Digital Contents)</t>
        </is>
      </c>
      <c r="D6" s="94" t="n"/>
      <c r="E6" s="9" t="inlineStr">
        <is>
          <t>제정일</t>
        </is>
      </c>
      <c r="F6" s="105" t="inlineStr">
        <is>
          <t>2023.12.06</t>
        </is>
      </c>
    </row>
    <row r="7" ht="15" customHeight="1" s="71">
      <c r="B7" s="9" t="inlineStr">
        <is>
          <t>소관 PG</t>
        </is>
      </c>
      <c r="C7" s="105" t="inlineStr">
        <is>
          <t>PG1006</t>
        </is>
      </c>
      <c r="D7" s="94" t="n"/>
      <c r="E7" s="9" t="inlineStr">
        <is>
          <t>최근 개정일</t>
        </is>
      </c>
      <c r="F7" s="105" t="inlineStr">
        <is>
          <t>-</t>
        </is>
      </c>
    </row>
    <row r="8" ht="15" customHeight="1" s="71">
      <c r="B8" s="9" t="inlineStr">
        <is>
          <t>도메인 분류</t>
        </is>
      </c>
      <c r="C8" s="104" t="inlineStr">
        <is>
          <t>블록체인/NFT 저작권 / 메타데이터(서비스 명세형)</t>
        </is>
      </c>
      <c r="D8" s="94" t="n"/>
      <c r="E8" s="9" t="inlineStr">
        <is>
          <t>분석 담당자</t>
        </is>
      </c>
      <c r="F8" s="105" t="inlineStr">
        <is>
          <t>(Tier3)</t>
        </is>
      </c>
    </row>
    <row r="10" ht="16.5" customHeight="1" s="71">
      <c r="B10" s="92" t="inlineStr">
        <is>
          <t>■ A축 — 품질·정합성 결함 점검</t>
        </is>
      </c>
      <c r="C10" s="73" t="n"/>
      <c r="D10" s="73" t="n"/>
      <c r="E10" s="73" t="n"/>
      <c r="F10" s="73" t="n"/>
    </row>
    <row r="11" ht="15" customHeight="1" s="71">
      <c r="B11" s="3" t="inlineStr">
        <is>
          <t>결함 유형</t>
        </is>
      </c>
      <c r="C11" s="1" t="inlineStr">
        <is>
          <t>발견</t>
        </is>
      </c>
      <c r="D11" s="82" t="inlineStr">
        <is>
          <t>구체 사례</t>
        </is>
      </c>
      <c r="E11" s="73" t="n"/>
      <c r="F11" s="1" t="inlineStr">
        <is>
          <t>자동검사</t>
        </is>
      </c>
    </row>
    <row r="12" ht="57.75" customHeight="1" s="71">
      <c r="B12" s="2" t="inlineStr">
        <is>
          <t>데이터 타입 정의 오류</t>
        </is>
      </c>
      <c r="C12" s="10" t="inlineStr">
        <is>
          <t>Y</t>
        </is>
      </c>
      <c r="D12" s="102" t="inlineStr">
        <is>
          <t>&lt;표 6-1&gt;·&lt;표 II-1&gt;은 holderRatio를 '실수(float)'로 정의하나, 부록 III JSON 규격(p.21)은 동일 필드를 holderRatio:{"type":"string"}으로 선언한다. 또한 createdDate·publishDate는 본문 표에서 '날짜(date)'이나 JSON 규격(p.23)에서는 "type":"string"으로만 선언되어 날짜 형식 제약이 없다. 타입 정의가 표와 스키마 간에 불일치한다.</t>
        </is>
      </c>
      <c r="E12" s="73" t="n"/>
      <c r="F12" s="11" t="inlineStr">
        <is>
          <t>예</t>
        </is>
      </c>
    </row>
    <row r="13" ht="57.75" customHeight="1" s="71">
      <c r="B13" s="2" t="inlineStr">
        <is>
          <t>단위 표기 모호성</t>
        </is>
      </c>
      <c r="C13" s="10" t="inlineStr">
        <is>
          <t>Y</t>
        </is>
      </c>
      <c r="D13" s="102" t="inlineStr">
        <is>
          <t>권리자 지분 holderRatio의 단위/스케일이 문서 내에서 상충한다. &lt;표 6-1&gt;은 예시 "0.123"에 '전체 holderRatio 합은 1'(0~1 비율)이라 명시하나, &lt;표 II-1&gt;(p.17~18)과 부록 III JSON 예시(p.24)는 "100.0"/100(백분율, 합 100)을 쓴다. 동일 항목에 0~1 비율과 100 기준 백분율 두 단위가 혼재한다.</t>
        </is>
      </c>
      <c r="E13" s="73" t="n"/>
      <c r="F13" s="11" t="inlineStr">
        <is>
          <t>부분</t>
        </is>
      </c>
    </row>
    <row r="14" ht="57.75" customHeight="1" s="71">
      <c r="B14" s="2" t="inlineStr">
        <is>
          <t>인용/준용표준 분류 오류</t>
        </is>
      </c>
      <c r="C14" s="10" t="inlineStr">
        <is>
          <t>Y</t>
        </is>
      </c>
      <c r="D14" s="102" t="inlineStr">
        <is>
          <t>'2 인용 표준: 해당 사항 없음'(p.8)으로 표기했으나, 용어 정의는 외부 표준 어휘를 준용한다. 3.4~3.7은 [출처] 단체표준 TTAK.KO-12.0336(블록체인 용어정의)을, 3.17 JSON은 TTAK.KO-07.0158을 출처로 명시한다. 규범적 용어 의존을 인용표준이 아닌 참고문헌(부록 V-4)에만 둔 분류 오류다.</t>
        </is>
      </c>
      <c r="E14" s="73" t="n"/>
      <c r="F14" s="11" t="inlineStr">
        <is>
          <t>부분</t>
        </is>
      </c>
    </row>
    <row r="15" ht="57.75" customHeight="1" s="71">
      <c r="B15" s="2" t="inlineStr">
        <is>
          <t>코드/enum 정의 오류</t>
        </is>
      </c>
      <c r="C15" s="10" t="inlineStr">
        <is>
          <t>Y</t>
        </is>
      </c>
      <c r="D15" s="102" t="inlineStr">
        <is>
          <t>copyrightIDType enum이 표 간에 불일치한다. &lt;표 II-1&gt;(p.18~19)은 {CROS_ID, ICN, UCI, DOI, ISBN, ISWC, ISRC, etc}를 열거하나, 4 약어절은 ICN/UCI/DOI/ISBN/ISWC/ISRC만 정의하고 CROS_ID·etc는 약어 정의가 없다. 또한 p.19에서는 같은 행의 키 이름이 copyrightIDType이 아닌 'copyrightType'으로 표기되어 enum 식별자 이름 자체가 흔들린다.</t>
        </is>
      </c>
      <c r="E15" s="73" t="n"/>
      <c r="F15" s="11" t="inlineStr">
        <is>
          <t>예</t>
        </is>
      </c>
    </row>
    <row r="16" ht="57.75" customHeight="1" s="71">
      <c r="B16" s="2" t="inlineStr">
        <is>
          <t>오타·표기 불일치</t>
        </is>
      </c>
      <c r="C16" s="10" t="inlineStr">
        <is>
          <t>Y</t>
        </is>
      </c>
      <c r="D16" s="102" t="inlineStr">
        <is>
          <t>부록 III JSON 예시(p.24)와 규격 간 필드명이 불일치한다: contentURIs↔'imageURIs', isCompositeWork↔'compositeWorks', copyrightIDType↔'copyrightType'. 또한 &lt;표 II-1&gt;(p.19) notaryNames 형식이 '[stirng]'(string 오타)로 적혀 있고, 부록 V-4 참고문헌의 'TTAK.KO012.0336'은 'TTAK.KO-12.0336'의 표기 오류다.</t>
        </is>
      </c>
      <c r="E16" s="73" t="n"/>
      <c r="F16" s="11" t="inlineStr">
        <is>
          <t>예</t>
        </is>
      </c>
    </row>
    <row r="17" ht="57.75" customHeight="1" s="71">
      <c r="B17" s="2" t="inlineStr">
        <is>
          <t>내부 일관성</t>
        </is>
      </c>
      <c r="C17" s="10" t="inlineStr">
        <is>
          <t>Y</t>
        </is>
      </c>
      <c r="D17" s="102" t="inlineStr">
        <is>
          <t>부록 III JSON 규격(p.23)의 required 배열이 ["schemeVersion",...,"createdDate",] 로 끝나 마지막 원소 뒤 쉼표가 남아 JSON 파서에서 오류가 난다. 또한 본문(p.14)은 '저작권법에 명시된 7개의 항목'을 작성하라 하나 5.1·6절·p.15 본문은 복제권·공중송신권만 필수로 규정해 '7개 작성' 서술과 필수 규정이 어긋난다. &lt;표 6-1&gt;은 propertyRights를 '저작재산권'으로 묶지만 표 좌측 '구분'열 병합이 깨져 성명표시권/동일성유지권 라벨이 필드와 어긋나 배치된다.</t>
        </is>
      </c>
      <c r="E17" s="73" t="n"/>
      <c r="F17" s="11" t="inlineStr">
        <is>
          <t>부분</t>
        </is>
      </c>
    </row>
    <row r="18" ht="57.75" customHeight="1" s="71">
      <c r="B18" s="2" t="inlineStr">
        <is>
          <t>기타</t>
        </is>
      </c>
      <c r="C18" s="10" t="inlineStr">
        <is>
          <t>N</t>
        </is>
      </c>
      <c r="D18" s="102" t="inlineStr">
        <is>
          <t>위 1~6 유형 외 별도 결함은 확인되지 않는다. 부록 IV의 ERC-4906/4907 참조는 비규범 권장사항으로 명시되어 결함으로 보지 않는다.</t>
        </is>
      </c>
      <c r="E18" s="73" t="n"/>
      <c r="F18" s="11" t="inlineStr">
        <is>
          <t>—</t>
        </is>
      </c>
    </row>
    <row r="19" ht="15" customHeight="1" s="71">
      <c r="B19" s="12" t="inlineStr">
        <is>
          <t>결함 발견 수 (Y)</t>
        </is>
      </c>
      <c r="C19" s="95">
        <f>COUNTIF(C12:C18,"Y")</f>
        <v/>
      </c>
      <c r="D19" s="73" t="n"/>
      <c r="E19" s="73" t="n"/>
      <c r="F19" s="73" t="n"/>
    </row>
    <row r="21" ht="16.5" customHeight="1" s="71">
      <c r="B21" s="92" t="inlineStr">
        <is>
          <t>■ B축 — AI-Ready 7개 구성요소 성숙도</t>
        </is>
      </c>
      <c r="C21" s="73" t="n"/>
      <c r="D21" s="73" t="n"/>
      <c r="E21" s="73" t="n"/>
      <c r="F21" s="73" t="n"/>
    </row>
    <row r="22" ht="15" customHeight="1" s="71">
      <c r="B22" s="3" t="inlineStr">
        <is>
          <t>구성요소</t>
        </is>
      </c>
      <c r="C22" s="1" t="inlineStr">
        <is>
          <t>등급(0/1/2)</t>
        </is>
      </c>
      <c r="D22" s="3" t="inlineStr">
        <is>
          <t>근거</t>
        </is>
      </c>
      <c r="E22" s="82" t="inlineStr">
        <is>
          <t>충족 위한 매핑 대상</t>
        </is>
      </c>
      <c r="F22" s="73" t="n"/>
    </row>
    <row r="23" ht="61.5" customHeight="1" s="71">
      <c r="B23" s="2" t="inlineStr">
        <is>
          <t>시맨틱</t>
        </is>
      </c>
      <c r="C23" s="15" t="n">
        <v>0</v>
      </c>
      <c r="D23" s="16" t="inlineStr">
        <is>
          <t>저작권 정보 항목 의미가 로컬·산문, 전역 IRI 없음.</t>
        </is>
      </c>
      <c r="E23" s="101" t="inlineStr">
        <is>
          <t>schema.org·dct</t>
        </is>
      </c>
      <c r="F23" s="73" t="n"/>
    </row>
    <row r="24" ht="61.5" customHeight="1" s="71">
      <c r="B24" s="2" t="inlineStr">
        <is>
          <t>데이터 모델</t>
        </is>
      </c>
      <c r="C24" s="15" t="n">
        <v>1</v>
      </c>
      <c r="D24" s="16" t="inlineStr">
        <is>
          <t>부록 III JSON 스키마로 저작권 필드 타입 정의(표↔스키마 불일치=A축).</t>
        </is>
      </c>
      <c r="E24" s="101" t="inlineStr">
        <is>
          <t>스키마 정합화·SHACL</t>
        </is>
      </c>
      <c r="F24" s="73" t="n"/>
    </row>
    <row r="25" ht="61.5" customHeight="1" s="71">
      <c r="B25" s="2" t="inlineStr">
        <is>
          <t>신태틱</t>
        </is>
      </c>
      <c r="C25" s="15" t="n">
        <v>1</v>
      </c>
      <c r="D25" s="16" t="inlineStr">
        <is>
          <t>부록 III에서 $schema: json-schema/draft-04로 직렬화 형식을 제시하고 JSON 예시(p.24)를 둔다. 다만 스키마에 trailing comma·필드명 불일치(imageURIs 등)가 있어 규범적 직렬화로 완결되지 못했고, JSON-LD/RDF 같은 의미 직렬화는 없다.</t>
        </is>
      </c>
      <c r="E25" s="101" t="inlineStr">
        <is>
          <t>JSON-LD</t>
        </is>
      </c>
      <c r="F25" s="73" t="n"/>
    </row>
    <row r="26" ht="61.5" customHeight="1" s="71">
      <c r="B26" s="2" t="inlineStr">
        <is>
          <t>운영 시맨틱</t>
        </is>
      </c>
      <c r="C26" s="15" t="inlineStr">
        <is>
          <t>N/A</t>
        </is>
      </c>
      <c r="D26" s="16" t="inlineStr">
        <is>
          <t>NFT 저작권 정보 확인 명세 — ML 사용 정의 비대상(비해당).</t>
        </is>
      </c>
      <c r="E26" s="101" t="inlineStr">
        <is>
          <t>—</t>
        </is>
      </c>
      <c r="F26" s="73" t="n"/>
    </row>
    <row r="27" ht="61.5" customHeight="1" s="71">
      <c r="B27" s="2" t="inlineStr">
        <is>
          <t>출처/계보</t>
        </is>
      </c>
      <c r="C27" s="15" t="n">
        <v>1</v>
      </c>
      <c r="D27" s="14" t="inlineStr">
        <is>
          <t>메타데이터의 신뢰성 검증 기관 notaryNames와 createdDate·publishDate, 저작자 authorsNames 등 일부 출처/내력 필드가 존재한다. 그러나 PROV-O 등으로 생성·검증 행위(activity/agent)를 형식화하지는 않는다.</t>
        </is>
      </c>
      <c r="E27" s="101" t="inlineStr">
        <is>
          <t>PROV-O</t>
        </is>
      </c>
      <c r="F27" s="73" t="n"/>
    </row>
    <row r="28" ht="61.5" customHeight="1" s="71">
      <c r="B28" s="2" t="inlineStr">
        <is>
          <t>품질 프로파일</t>
        </is>
      </c>
      <c r="C28" s="13" t="n">
        <v>0</v>
      </c>
      <c r="D28" s="16" t="inlineStr">
        <is>
          <t>품질 측정·신뢰도 지표가 없다. notaryNames(제3자 검증 기관명)는 검증 주체 표기일 뿐 품질 점수/프로파일이 아니며 DQV 같은 품질 어휘 결합이 없다.</t>
        </is>
      </c>
      <c r="E28" s="101" t="inlineStr">
        <is>
          <t>DQV</t>
        </is>
      </c>
      <c r="F28" s="73" t="n"/>
    </row>
    <row r="29" ht="61.5" customHeight="1" s="71">
      <c r="B29" s="2" t="inlineStr">
        <is>
          <t>접근/사용 제약</t>
        </is>
      </c>
      <c r="C29" s="15" t="n">
        <v>1</v>
      </c>
      <c r="D29" s="16" t="inlineStr">
        <is>
          <t>표준 자체가 저작권 정보 확인용이라 jurisdiction('Korea Copyright Law'), propertyRights/rightType(복제권·공중송신권 등 7종), rightHolders, holderRatio, disclaimer(면책), CCL 약어 등 권리·라이선스 메타데이터를 콘텐츠 단위로 다룬다. 그러나 ODRL/DCAT 등 기계가독 권리 표현 모델에 바인딩되지 않은 산문·로컬코드 수준이라 1에 머문다.</t>
        </is>
      </c>
      <c r="E29" s="101" t="inlineStr">
        <is>
          <t>ODRL·DCAT v3</t>
        </is>
      </c>
      <c r="F29" s="73" t="n"/>
    </row>
    <row r="30" ht="15" customHeight="1" s="71">
      <c r="B30" s="12" t="inlineStr">
        <is>
          <t>성숙도 점수</t>
        </is>
      </c>
      <c r="C30" s="91">
        <f>IF(COUNT(C23:C29)=0,"",SUM(C23:C29)/(COUNT(C23:C29)*2))</f>
        <v/>
      </c>
      <c r="D30" s="73" t="n"/>
      <c r="E30" s="73" t="n"/>
      <c r="F30" s="73" t="n"/>
    </row>
    <row r="32" ht="16.5" customHeight="1" s="71">
      <c r="B32" s="86" t="inlineStr">
        <is>
          <t>■ 종합 — 가장 시급한 개선 1~2개</t>
        </is>
      </c>
      <c r="C32" s="73" t="n"/>
      <c r="D32" s="73" t="n"/>
      <c r="E32" s="73" t="n"/>
      <c r="F32" s="73" t="n"/>
    </row>
    <row r="33" ht="21.75" customHeight="1" s="71">
      <c r="B33" s="103" t="inlineStr">
        <is>
          <t>1) 부록 II 표·부록 III JSON 규격·JSON 예시 3개 산출물 간 필드명(contentURIs/imageURIs, isCompositeWork/compositeWorks, copyrightIDType/copyrightType)과 타입(holderRatio: 실수 vs string)이 상충하므로, 단일 정규 스키마로 통일하고 trailing comma 등 JSON 오류를 수정해야 한다.
2) holderRatio 단위(0~1 vs 100)를 하나로 확정하고, '인용 표준 없음' 표기를 TTAK.KO-12.0336·TTAK.KO-07.0158 준용으로 바로잡아야 한다.</t>
        </is>
      </c>
      <c r="C33" s="89" t="n"/>
      <c r="D33" s="89" t="n"/>
      <c r="E33" s="89" t="n"/>
      <c r="F33" s="89" t="n"/>
    </row>
    <row r="34" ht="21.75" customHeight="1" s="71">
      <c r="B34" s="9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pageMargins left="0.3" right="0.3" top="0.4" bottom="0.4" header="0.511811023622047" footer="0.511811023622047"/>
  <pageSetup orientation="landscape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tabSelected="1" topLeftCell="A4" workbookViewId="0">
      <selection activeCell="K13" sqref="K13"/>
    </sheetView>
  </sheetViews>
  <sheetFormatPr baseColWidth="8" defaultRowHeight="14.5"/>
  <cols>
    <col width="4" customWidth="1" style="71" min="2" max="2"/>
    <col width="22" customWidth="1" style="71" min="3" max="3"/>
    <col width="34" customWidth="1" style="71" min="4" max="4"/>
    <col width="8" customWidth="1" style="71" min="5" max="5"/>
    <col width="18" customWidth="1" style="71" min="6" max="6"/>
    <col width="12" customWidth="1" style="71" min="7" max="7"/>
    <col width="46" customWidth="1" style="71" min="8" max="8"/>
  </cols>
  <sheetData>
    <row r="2" ht="17" customHeight="1" s="71">
      <c r="B2" s="59" t="inlineStr">
        <is>
          <t>TG(타 PG) 27종 유형 분류 · AI-Ready 적용/제외 및 분석 상태</t>
        </is>
      </c>
    </row>
    <row r="3">
      <c r="B3" s="60" t="inlineStr">
        <is>
          <t>분석 완료 9종(카드 보유) + 분석가능·후순위 6종 + 대조군 2종 + 제외(비-메타데이터) 10종. ★=최종 샘플 5종 중 타 PG 3종.</t>
        </is>
      </c>
    </row>
    <row r="5">
      <c r="B5" s="61" t="inlineStr">
        <is>
          <t>No</t>
        </is>
      </c>
      <c r="C5" s="61" t="inlineStr">
        <is>
          <t>표준번호</t>
        </is>
      </c>
      <c r="D5" s="61" t="inlineStr">
        <is>
          <t>표준명(약칭)</t>
        </is>
      </c>
      <c r="E5" s="61" t="inlineStr">
        <is>
          <t>소관PG</t>
        </is>
      </c>
      <c r="F5" s="61" t="inlineStr">
        <is>
          <t>유형</t>
        </is>
      </c>
      <c r="G5" s="61" t="inlineStr">
        <is>
          <t>분석 상태</t>
        </is>
      </c>
      <c r="H5" s="61" t="inlineStr">
        <is>
          <t>AI-Ready 적용 여부 · 사유</t>
        </is>
      </c>
    </row>
    <row r="6" ht="24" customHeight="1" s="71">
      <c r="B6" s="62" t="n">
        <v>1</v>
      </c>
      <c r="C6" s="63" t="inlineStr">
        <is>
          <t>TTAK.KO-10.1530</t>
        </is>
      </c>
      <c r="D6" s="63" t="inlineStr">
        <is>
          <t>유수식 수산양식 센서 데이터 구조 ★</t>
        </is>
      </c>
      <c r="E6" s="63" t="inlineStr">
        <is>
          <t>PG426</t>
        </is>
      </c>
      <c r="F6" s="63" t="inlineStr">
        <is>
          <t>데이터 구조</t>
        </is>
      </c>
      <c r="G6" s="63" t="inlineStr">
        <is>
          <t>분석완료</t>
        </is>
      </c>
      <c r="H6" s="63" t="inlineStr">
        <is>
          <t>적용 — 데이터 구조형 대표. 성숙도 17% 최저, 전후 대비 극적 → 샘플</t>
        </is>
      </c>
    </row>
    <row r="7" ht="24" customHeight="1" s="71">
      <c r="B7" s="62" t="n">
        <v>2</v>
      </c>
      <c r="C7" s="63" t="inlineStr">
        <is>
          <t>TTAK.KO-10.1510</t>
        </is>
      </c>
      <c r="D7" s="63" t="inlineStr">
        <is>
          <t>디지털 국토정보 공통 데이터 모델 ★</t>
        </is>
      </c>
      <c r="E7" s="63" t="inlineStr">
        <is>
          <t>PG409</t>
        </is>
      </c>
      <c r="F7" s="63" t="inlineStr">
        <is>
          <t>데이터 모델</t>
        </is>
      </c>
      <c r="G7" s="63" t="inlineStr">
        <is>
          <t>분석완료</t>
        </is>
      </c>
      <c r="H7" s="63" t="inlineStr">
        <is>
          <t>적용 — '공통 데이터 모델' 전형. 관계 그래프화·공간 어휘 시연 → 샘플</t>
        </is>
      </c>
    </row>
    <row r="8" ht="24" customHeight="1" s="71">
      <c r="B8" s="62" t="n">
        <v>3</v>
      </c>
      <c r="C8" s="63" t="inlineStr">
        <is>
          <t>TTAK.KO-11.0310</t>
        </is>
      </c>
      <c r="D8" s="63" t="inlineStr">
        <is>
          <t>자율주행 학습데이터 품질검증(정확성·다양성) ★</t>
        </is>
      </c>
      <c r="E8" s="63" t="inlineStr">
        <is>
          <t>PG604</t>
        </is>
      </c>
      <c r="F8" s="63" t="inlineStr">
        <is>
          <t>품질 검증</t>
        </is>
      </c>
      <c r="G8" s="63" t="inlineStr">
        <is>
          <t>분석완료</t>
        </is>
      </c>
      <c r="H8" s="63" t="inlineStr">
        <is>
          <t>적용 — JSON형 AI 품질지침. DQV/SHACL 자동생성 트랙 직결 → 샘플</t>
        </is>
      </c>
    </row>
    <row r="9" ht="24" customHeight="1" s="71">
      <c r="B9" s="62" t="n">
        <v>4</v>
      </c>
      <c r="C9" s="63" t="inlineStr">
        <is>
          <t>TTAK.KO-10.1291-Part1</t>
        </is>
      </c>
      <c r="D9" s="63" t="inlineStr">
        <is>
          <t>데이터맵 어휘</t>
        </is>
      </c>
      <c r="E9" s="63" t="inlineStr">
        <is>
          <t>PG1004</t>
        </is>
      </c>
      <c r="F9" s="63" t="inlineStr">
        <is>
          <t>어휘</t>
        </is>
      </c>
      <c r="G9" s="63" t="inlineStr">
        <is>
          <t>분석완료</t>
        </is>
      </c>
      <c r="H9" s="63" t="inlineStr">
        <is>
          <t>적용(모범군) — RDF/SKOS 형식화 완료 67% → 수준요건 모범 템플릿</t>
        </is>
      </c>
    </row>
    <row r="10">
      <c r="B10" s="62" t="n">
        <v>5</v>
      </c>
      <c r="C10" s="63" t="inlineStr">
        <is>
          <t>TTAE.IT-Y.3603</t>
        </is>
      </c>
      <c r="D10" s="63" t="inlineStr">
        <is>
          <t>빅데이터 카탈로그 메타데이터(개념모델)</t>
        </is>
      </c>
      <c r="E10" s="63" t="inlineStr">
        <is>
          <t>PG1004</t>
        </is>
      </c>
      <c r="F10" s="63" t="inlineStr">
        <is>
          <t>메타데이터(카탈로그)</t>
        </is>
      </c>
      <c r="G10" s="63" t="inlineStr">
        <is>
          <t>분석완료</t>
        </is>
      </c>
      <c r="H10" s="63" t="inlineStr">
        <is>
          <t>적용(모범군) — JSON-LD/DCAT 83% 최고 → 모범 템플릿</t>
        </is>
      </c>
    </row>
    <row r="11">
      <c r="B11" s="62" t="n">
        <v>6</v>
      </c>
      <c r="C11" s="63" t="inlineStr">
        <is>
          <t>TTAK.KO-11.0326-Part6</t>
        </is>
      </c>
      <c r="D11" s="63" t="inlineStr">
        <is>
          <t>디지털 트윈 객체 데이터 모델</t>
        </is>
      </c>
      <c r="E11" s="63" t="inlineStr">
        <is>
          <t>PG609</t>
        </is>
      </c>
      <c r="F11" s="63" t="inlineStr">
        <is>
          <t>데이터 모델</t>
        </is>
      </c>
      <c r="G11" s="63" t="inlineStr">
        <is>
          <t>분석완료</t>
        </is>
      </c>
      <c r="H11" s="63" t="inlineStr">
        <is>
          <t>적용 — 데이터 모델 층 다양성(NGSI-LD). 1510 대비 후순위(33%)</t>
        </is>
      </c>
    </row>
    <row r="12">
      <c r="B12" s="62" t="n">
        <v>7</v>
      </c>
      <c r="C12" s="63" t="inlineStr">
        <is>
          <t>TTAK.KO-10.1419</t>
        </is>
      </c>
      <c r="D12" s="63" t="inlineStr">
        <is>
          <t>한국어 음성·텍스트 의미 정확성 품질검증</t>
        </is>
      </c>
      <c r="E12" s="63" t="inlineStr">
        <is>
          <t>PG1005</t>
        </is>
      </c>
      <c r="F12" s="63" t="inlineStr">
        <is>
          <t>품질 검증</t>
        </is>
      </c>
      <c r="G12" s="63" t="inlineStr">
        <is>
          <t>분석완료</t>
        </is>
      </c>
      <c r="H12" s="63" t="inlineStr">
        <is>
          <t>적용 — 의미품질. 0310 대비 후순위(도메인 특화)</t>
        </is>
      </c>
    </row>
    <row r="13">
      <c r="B13" s="62" t="n">
        <v>8</v>
      </c>
      <c r="C13" s="63" t="inlineStr">
        <is>
          <t>TTAK.KO-10.1561</t>
        </is>
      </c>
      <c r="D13" s="63" t="inlineStr">
        <is>
          <t>검증가능 크리덴셜 신원확인 프로파일</t>
        </is>
      </c>
      <c r="E13" s="63" t="inlineStr">
        <is>
          <t>PG1006</t>
        </is>
      </c>
      <c r="F13" s="63" t="inlineStr">
        <is>
          <t>신원/VC</t>
        </is>
      </c>
      <c r="G13" s="63" t="inlineStr">
        <is>
          <t>분석완료</t>
        </is>
      </c>
      <c r="H13" s="63" t="inlineStr">
        <is>
          <t>대조군 — DID/VC. 식별·출처 강하나 메타데이터 성격 옅음</t>
        </is>
      </c>
    </row>
    <row r="14">
      <c r="B14" s="62" t="n">
        <v>9</v>
      </c>
      <c r="C14" s="63" t="inlineStr">
        <is>
          <t>TTAK.KO-10.1500</t>
        </is>
      </c>
      <c r="D14" s="63" t="inlineStr">
        <is>
          <t>NFT 디지털콘텐츠 저작권 정보 확인 명세</t>
        </is>
      </c>
      <c r="E14" s="63" t="inlineStr">
        <is>
          <t>PG1006</t>
        </is>
      </c>
      <c r="F14" s="63" t="inlineStr">
        <is>
          <t>서비스 명세</t>
        </is>
      </c>
      <c r="G14" s="63" t="inlineStr">
        <is>
          <t>분석완료</t>
        </is>
      </c>
      <c r="H14" s="63" t="inlineStr">
        <is>
          <t>대조군 — 접근/사용제약(저작권) 관점 한계 사례</t>
        </is>
      </c>
    </row>
    <row r="15">
      <c r="B15" s="64" t="n">
        <v>10</v>
      </c>
      <c r="C15" s="65" t="inlineStr">
        <is>
          <t>TTAK.KO-10.1569</t>
        </is>
      </c>
      <c r="D15" s="65" t="inlineStr">
        <is>
          <t>유수식 수산양식 구동기 데이터 구조</t>
        </is>
      </c>
      <c r="E15" s="65" t="inlineStr">
        <is>
          <t>PG426</t>
        </is>
      </c>
      <c r="F15" s="65" t="inlineStr">
        <is>
          <t>데이터 구조</t>
        </is>
      </c>
      <c r="G15" s="65" t="inlineStr">
        <is>
          <t>미분석·후순위</t>
        </is>
      </c>
      <c r="H15" s="65" t="inlineStr">
        <is>
          <t>적용가능 — 1530 자매표준. 데이터 구조 유형 중복 → 1530이 대표</t>
        </is>
      </c>
    </row>
    <row r="16" ht="24" customHeight="1" s="71">
      <c r="B16" s="64" t="n">
        <v>11</v>
      </c>
      <c r="C16" s="65" t="inlineStr">
        <is>
          <t>TTAK.KO-11.0326-Part4</t>
        </is>
      </c>
      <c r="D16" s="65" t="inlineStr">
        <is>
          <t>디지털 트윈 특성 정보 데이터 모델</t>
        </is>
      </c>
      <c r="E16" s="65" t="inlineStr">
        <is>
          <t>PG609</t>
        </is>
      </c>
      <c r="F16" s="65" t="inlineStr">
        <is>
          <t>데이터 모델</t>
        </is>
      </c>
      <c r="G16" s="65" t="inlineStr">
        <is>
          <t>미분석·후순위</t>
        </is>
      </c>
      <c r="H16" s="65" t="inlineStr">
        <is>
          <t>적용가능 — 데이터 모델 유형. 0326-P6·1510과 중복</t>
        </is>
      </c>
    </row>
    <row r="17">
      <c r="B17" s="64" t="n">
        <v>12</v>
      </c>
      <c r="C17" s="65" t="inlineStr">
        <is>
          <t>TTAK.KO-10.1331-Part4</t>
        </is>
      </c>
      <c r="D17" s="65" t="inlineStr">
        <is>
          <t>스마트시티 데이터허브 데이터 모델</t>
        </is>
      </c>
      <c r="E17" s="65" t="inlineStr">
        <is>
          <t>PG1001</t>
        </is>
      </c>
      <c r="F17" s="65" t="inlineStr">
        <is>
          <t>데이터 모델</t>
        </is>
      </c>
      <c r="G17" s="65" t="inlineStr">
        <is>
          <t>미분석·후순위</t>
        </is>
      </c>
      <c r="H17" s="65" t="inlineStr">
        <is>
          <t>적용가능 — 데이터 모델 유형. 1510과 중복</t>
        </is>
      </c>
    </row>
    <row r="18">
      <c r="B18" s="64" t="n">
        <v>13</v>
      </c>
      <c r="C18" s="65" t="inlineStr">
        <is>
          <t>TTAK.KO-10.1390-Part1</t>
        </is>
      </c>
      <c r="D18" s="65" t="inlineStr">
        <is>
          <t>현실융합 메타버스 센서 인터페이스 데이터 포맷</t>
        </is>
      </c>
      <c r="E18" s="65" t="inlineStr">
        <is>
          <t>PG610</t>
        </is>
      </c>
      <c r="F18" s="65" t="inlineStr">
        <is>
          <t>데이터 포맷(센서)</t>
        </is>
      </c>
      <c r="G18" s="65" t="inlineStr">
        <is>
          <t>미분석·후순위</t>
        </is>
      </c>
      <c r="H18" s="65" t="inlineStr">
        <is>
          <t>적용가능 — 센서 데이터 포맷. 1530 유형 인접</t>
        </is>
      </c>
    </row>
    <row r="19" ht="24" customHeight="1" s="71">
      <c r="B19" s="64" t="n">
        <v>14</v>
      </c>
      <c r="C19" s="65" t="inlineStr">
        <is>
          <t>TTAK.KO-10.1523</t>
        </is>
      </c>
      <c r="D19" s="65" t="inlineStr">
        <is>
          <t>양식 넙치류 질병 이미지 데이터 수집 지침</t>
        </is>
      </c>
      <c r="E19" s="65" t="inlineStr">
        <is>
          <t>PG426</t>
        </is>
      </c>
      <c r="F19" s="65" t="inlineStr">
        <is>
          <t>AI 학습데이터 수집</t>
        </is>
      </c>
      <c r="G19" s="65" t="inlineStr">
        <is>
          <t>미분석·후순위</t>
        </is>
      </c>
      <c r="H19" s="65" t="inlineStr">
        <is>
          <t>적용가능 — 수집지침. AI 메타데이터(1594·0976 PG606)와 중복 성격</t>
        </is>
      </c>
    </row>
    <row r="20" ht="24" customHeight="1" s="71">
      <c r="B20" s="64" t="n">
        <v>15</v>
      </c>
      <c r="C20" s="65" t="inlineStr">
        <is>
          <t>TTAK.KO-10.1482-Part2</t>
        </is>
      </c>
      <c r="D20" s="65" t="inlineStr">
        <is>
          <t>실감 디지털휴먼 품질평가 프레임워크-평가방법</t>
        </is>
      </c>
      <c r="E20" s="65" t="inlineStr">
        <is>
          <t>PG610</t>
        </is>
      </c>
      <c r="F20" s="65" t="inlineStr">
        <is>
          <t>품질 평가</t>
        </is>
      </c>
      <c r="G20" s="65" t="inlineStr">
        <is>
          <t>미분석·후순위</t>
        </is>
      </c>
      <c r="H20" s="65" t="inlineStr">
        <is>
          <t>적용가능 — 품질계열. 0310·1419·1344-P2와 중복</t>
        </is>
      </c>
    </row>
    <row r="21" ht="24" customHeight="1" s="71">
      <c r="B21" s="66" t="n">
        <v>16</v>
      </c>
      <c r="C21" s="67" t="inlineStr">
        <is>
          <t>TTAK.KO-10.1415</t>
        </is>
      </c>
      <c r="D21" s="67" t="inlineStr">
        <is>
          <t>블록체인 선원자격증명 VC 데이터</t>
        </is>
      </c>
      <c r="E21" s="67" t="inlineStr">
        <is>
          <t>PG1006</t>
        </is>
      </c>
      <c r="F21" s="67" t="inlineStr">
        <is>
          <t>신원/VC</t>
        </is>
      </c>
      <c r="G21" s="67" t="inlineStr">
        <is>
          <t>미분석·대조</t>
        </is>
      </c>
      <c r="H21" s="67" t="inlineStr">
        <is>
          <t>부분관련 — 식별·출처. 1561과 유형 중복(대조군)</t>
        </is>
      </c>
    </row>
    <row r="22">
      <c r="B22" s="66" t="n">
        <v>17</v>
      </c>
      <c r="C22" s="67" t="inlineStr">
        <is>
          <t>TTAK.KO-10.1502-Part1</t>
        </is>
      </c>
      <c r="D22" s="67" t="inlineStr">
        <is>
          <t>모바일 신분증(DID 운전면허증)</t>
        </is>
      </c>
      <c r="E22" s="67" t="inlineStr">
        <is>
          <t>PG1006</t>
        </is>
      </c>
      <c r="F22" s="67" t="inlineStr">
        <is>
          <t>신원/서비스</t>
        </is>
      </c>
      <c r="G22" s="67" t="inlineStr">
        <is>
          <t>미분석·대조</t>
        </is>
      </c>
      <c r="H22" s="67" t="inlineStr">
        <is>
          <t>부분관련 — 신원·서비스. 메타데이터 성격 옅음(대조군)</t>
        </is>
      </c>
    </row>
    <row r="23">
      <c r="B23" s="68" t="n">
        <v>18</v>
      </c>
      <c r="C23" s="69" t="inlineStr">
        <is>
          <t>TTAK.KO-10.0904</t>
        </is>
      </c>
      <c r="D23" s="69" t="inlineStr">
        <is>
          <t>지능형 CCTV 영상분석 경보 기록 방법</t>
        </is>
      </c>
      <c r="E23" s="69" t="inlineStr">
        <is>
          <t>PG427</t>
        </is>
      </c>
      <c r="F23" s="69" t="inlineStr">
        <is>
          <t>보안·기록 인터페이스</t>
        </is>
      </c>
      <c r="G23" s="69" t="inlineStr">
        <is>
          <t>제외</t>
        </is>
      </c>
      <c r="H23" s="69" t="inlineStr">
        <is>
          <t>비-메타데이터 — 기능·기록 규격. AI-Ready 잣대 부적합</t>
        </is>
      </c>
    </row>
    <row r="24">
      <c r="B24" s="68" t="n">
        <v>19</v>
      </c>
      <c r="C24" s="69" t="inlineStr">
        <is>
          <t>TTAK.KO-10.1453</t>
        </is>
      </c>
      <c r="D24" s="69" t="inlineStr">
        <is>
          <t>영상보안 시스템 데이터 인터페이스</t>
        </is>
      </c>
      <c r="E24" s="69" t="inlineStr">
        <is>
          <t>PG427</t>
        </is>
      </c>
      <c r="F24" s="69" t="inlineStr">
        <is>
          <t>인터페이스</t>
        </is>
      </c>
      <c r="G24" s="69" t="inlineStr">
        <is>
          <t>제외</t>
        </is>
      </c>
      <c r="H24" s="69" t="inlineStr">
        <is>
          <t>비-메타데이터 — 시스템 연동 인터페이스</t>
        </is>
      </c>
    </row>
    <row r="25">
      <c r="B25" s="68" t="n">
        <v>20</v>
      </c>
      <c r="C25" s="69" t="inlineStr">
        <is>
          <t>TTAK.KO-12.0404</t>
        </is>
      </c>
      <c r="D25" s="69" t="inlineStr">
        <is>
          <t>출입통제-물리보안 상호연동 API</t>
        </is>
      </c>
      <c r="E25" s="69" t="inlineStr">
        <is>
          <t>PG505</t>
        </is>
      </c>
      <c r="F25" s="69" t="inlineStr">
        <is>
          <t>API</t>
        </is>
      </c>
      <c r="G25" s="69" t="inlineStr">
        <is>
          <t>제외</t>
        </is>
      </c>
      <c r="H25" s="69" t="inlineStr">
        <is>
          <t>비-메타데이터 — API 규격</t>
        </is>
      </c>
    </row>
    <row r="26">
      <c r="B26" s="68" t="n">
        <v>21</v>
      </c>
      <c r="C26" s="69" t="inlineStr">
        <is>
          <t>TTAK.KO-11.0326-Part7</t>
        </is>
      </c>
      <c r="D26" s="69" t="inlineStr">
        <is>
          <t>디지털 트윈 레지스트리 인터페이스·프로토콜</t>
        </is>
      </c>
      <c r="E26" s="69" t="inlineStr">
        <is>
          <t>PG609</t>
        </is>
      </c>
      <c r="F26" s="69" t="inlineStr">
        <is>
          <t>인터페이스·프로토콜</t>
        </is>
      </c>
      <c r="G26" s="69" t="inlineStr">
        <is>
          <t>제외</t>
        </is>
      </c>
      <c r="H26" s="69" t="inlineStr">
        <is>
          <t>비-메타데이터 — 레지스트리 I/F·프로토콜</t>
        </is>
      </c>
    </row>
    <row r="27">
      <c r="B27" s="68" t="n">
        <v>22</v>
      </c>
      <c r="C27" s="69" t="inlineStr">
        <is>
          <t>TTAK.KO-11.0326-Part9</t>
        </is>
      </c>
      <c r="D27" s="69" t="inlineStr">
        <is>
          <t>디지털 트윈 커뮤니케이션 어댑터 인터페이스·프로토콜</t>
        </is>
      </c>
      <c r="E27" s="69" t="inlineStr">
        <is>
          <t>PG609</t>
        </is>
      </c>
      <c r="F27" s="69" t="inlineStr">
        <is>
          <t>인터페이스·프로토콜</t>
        </is>
      </c>
      <c r="G27" s="69" t="inlineStr">
        <is>
          <t>제외</t>
        </is>
      </c>
      <c r="H27" s="69" t="inlineStr">
        <is>
          <t>비-메타데이터 — 통신 어댑터 I/F·프로토콜</t>
        </is>
      </c>
    </row>
    <row r="28" ht="24" customHeight="1" s="71">
      <c r="B28" s="68" t="n">
        <v>23</v>
      </c>
      <c r="C28" s="69" t="inlineStr">
        <is>
          <t>TTAK.KO-10.1423</t>
        </is>
      </c>
      <c r="D28" s="69" t="inlineStr">
        <is>
          <t>디지털 트윈 위치·자세 매핑 메시지 명세</t>
        </is>
      </c>
      <c r="E28" s="69" t="inlineStr">
        <is>
          <t>PG409</t>
        </is>
      </c>
      <c r="F28" s="69" t="inlineStr">
        <is>
          <t>메시지 포맷</t>
        </is>
      </c>
      <c r="G28" s="69" t="inlineStr">
        <is>
          <t>제외</t>
        </is>
      </c>
      <c r="H28" s="69" t="inlineStr">
        <is>
          <t>비-메타데이터 — 메시지 포맷 명세</t>
        </is>
      </c>
    </row>
    <row r="29">
      <c r="B29" s="68" t="n">
        <v>24</v>
      </c>
      <c r="C29" s="69" t="inlineStr">
        <is>
          <t>TTAK.KO-07.0142</t>
        </is>
      </c>
      <c r="D29" s="69" t="inlineStr">
        <is>
          <t>지상파 UHD 재난경보 구현 가이드</t>
        </is>
      </c>
      <c r="E29" s="69" t="inlineStr">
        <is>
          <t>PG802</t>
        </is>
      </c>
      <c r="F29" s="69" t="inlineStr">
        <is>
          <t>방송·구현가이드</t>
        </is>
      </c>
      <c r="G29" s="69" t="inlineStr">
        <is>
          <t>제외</t>
        </is>
      </c>
      <c r="H29" s="69" t="inlineStr">
        <is>
          <t>비-메타데이터 — 구현 가이드</t>
        </is>
      </c>
    </row>
    <row r="30">
      <c r="B30" s="68" t="n">
        <v>25</v>
      </c>
      <c r="C30" s="69" t="inlineStr">
        <is>
          <t>TTAK.KO-06.0410</t>
        </is>
      </c>
      <c r="D30" s="69" t="inlineStr">
        <is>
          <t>RCS 단말-사업자망 연동</t>
        </is>
      </c>
      <c r="E30" s="69" t="inlineStr">
        <is>
          <t>PG1105</t>
        </is>
      </c>
      <c r="F30" s="69" t="inlineStr">
        <is>
          <t>통신·프로토콜</t>
        </is>
      </c>
      <c r="G30" s="69" t="inlineStr">
        <is>
          <t>제외</t>
        </is>
      </c>
      <c r="H30" s="69" t="inlineStr">
        <is>
          <t>비-메타데이터 — 서비스 연동 절차</t>
        </is>
      </c>
    </row>
    <row r="31">
      <c r="B31" s="68" t="n">
        <v>26</v>
      </c>
      <c r="C31" s="69" t="inlineStr">
        <is>
          <t>TTAK.KO-06.0580</t>
        </is>
      </c>
      <c r="D31" s="69" t="inlineStr">
        <is>
          <t>이동통신 기반 V2N 서비스 정보연계</t>
        </is>
      </c>
      <c r="E31" s="69" t="inlineStr">
        <is>
          <t>PG1104</t>
        </is>
      </c>
      <c r="F31" s="69" t="inlineStr">
        <is>
          <t>통신·프로토콜</t>
        </is>
      </c>
      <c r="G31" s="69" t="inlineStr">
        <is>
          <t>제외</t>
        </is>
      </c>
      <c r="H31" s="69" t="inlineStr">
        <is>
          <t>비-메타데이터 — 정보연계 절차</t>
        </is>
      </c>
    </row>
    <row r="32">
      <c r="B32" s="68" t="n">
        <v>27</v>
      </c>
      <c r="C32" s="69" t="inlineStr">
        <is>
          <t>TTAK.OT-06.0055</t>
        </is>
      </c>
      <c r="D32" s="69" t="inlineStr">
        <is>
          <t>통합경보시스템 공통경보프로토콜 프로파일</t>
        </is>
      </c>
      <c r="E32" s="69" t="inlineStr">
        <is>
          <t>PG902</t>
        </is>
      </c>
      <c r="F32" s="69" t="inlineStr">
        <is>
          <t>프로토콜</t>
        </is>
      </c>
      <c r="G32" s="69" t="inlineStr">
        <is>
          <t>제외</t>
        </is>
      </c>
      <c r="H32" s="69" t="inlineStr">
        <is>
          <t>비-메타데이터 — 경보 프로토콜 프로파일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2026-06-22T02:07:18Z</dcterms:created>
  <dcterms:modified xmlns:dcterms="http://purl.org/dc/terms/" xmlns:xsi="http://www.w3.org/2001/XMLSchema-instance" xsi:type="dcterms:W3CDTF">2026-07-16T00:16:17Z</dcterms:modified>
  <cp:lastModifiedBy>김선태</cp:lastModifiedBy>
  <cp:revision>0</cp:revision>
</cp:coreProperties>
</file>